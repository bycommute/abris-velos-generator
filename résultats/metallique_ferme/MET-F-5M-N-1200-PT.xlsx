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40060" yWindow="40" windowWidth="30240" windowHeight="17860" tabRatio="600" firstSheet="1" activeTab="1" autoFilterDateGrouping="1"/>
  </bookViews>
  <sheets>
    <sheet xmlns:r="http://schemas.openxmlformats.org/officeDocument/2006/relationships" name="PRC import" sheetId="1" state="visible" r:id="rId1"/>
    <sheet xmlns:r="http://schemas.openxmlformats.org/officeDocument/2006/relationships" name="Configure" sheetId="2" state="visible" r:id="rId2"/>
    <sheet xmlns:r="http://schemas.openxmlformats.org/officeDocument/2006/relationships" name="Calc" sheetId="3" state="visible" r:id="rId3"/>
    <sheet xmlns:r="http://schemas.openxmlformats.org/officeDocument/2006/relationships" name="Fastening" sheetId="4" state="visible" r:id="rId4"/>
    <sheet xmlns:r="http://schemas.openxmlformats.org/officeDocument/2006/relationships" name="List" sheetId="5" state="visible" r:id="rId5"/>
    <sheet xmlns:r="http://schemas.openxmlformats.org/officeDocument/2006/relationships" name="Language" sheetId="6" state="visible" r:id="rId6"/>
    <sheet xmlns:r="http://schemas.openxmlformats.org/officeDocument/2006/relationships" name="Articles" sheetId="7" state="visible" r:id="rId7"/>
    <sheet xmlns:r="http://schemas.openxmlformats.org/officeDocument/2006/relationships" name="Price" sheetId="8" state="visible" r:id="rId8"/>
    <sheet xmlns:r="http://schemas.openxmlformats.org/officeDocument/2006/relationships" name="Montage" sheetId="9" state="visible" r:id="rId9"/>
  </sheets>
  <definedNames>
    <definedName name="ATLIST">Calc!$J$2:$J$5</definedName>
    <definedName name="LALIST">Language!$B$1:$D$1</definedName>
    <definedName name="LFLIST">Calc!$M$2:$M$6</definedName>
    <definedName name="LLIST1">Calc!$C$2:$C$7</definedName>
    <definedName name="LLIST2">Calc!$D$2:$D$6</definedName>
    <definedName name="MFLIST">Calc!$L$2:$L$6</definedName>
    <definedName name="NOLIST">Calc!$G$2</definedName>
    <definedName name="SSLIST">Calc!$K$2:$K$4</definedName>
    <definedName name="TMLIST">Calc!$H$2:$H$4</definedName>
    <definedName name="WLIST1">Calc!$E$2:$E$4</definedName>
    <definedName name="WLIST2">Calc!$F$2:$F$3</definedName>
    <definedName name="WOLIST">Calc!$I$2:$I$5</definedName>
  </definedNames>
  <calcPr calcId="191028" fullCalcOnLoad="1"/>
</workbook>
</file>

<file path=xl/styles.xml><?xml version="1.0" encoding="utf-8"?>
<styleSheet xmlns="http://schemas.openxmlformats.org/spreadsheetml/2006/main">
  <numFmts count="6">
    <numFmt numFmtId="164" formatCode="#,##0.0"/>
    <numFmt numFmtId="165" formatCode="0&quot; days&quot;"/>
    <numFmt numFmtId="166" formatCode="0&quot; km/h&quot;"/>
    <numFmt numFmtId="167" formatCode="0&quot; km&quot;"/>
    <numFmt numFmtId="168" formatCode="0.00&quot; h&quot;"/>
    <numFmt numFmtId="169" formatCode="&quot;€&quot;\ #,##0.00"/>
  </numFmts>
  <fonts count="7">
    <font>
      <name val="Calibri"/>
      <family val="2"/>
      <color theme="1"/>
      <sz val="11"/>
      <scheme val="minor"/>
    </font>
    <font>
      <name val="Calibri"/>
      <family val="2"/>
      <b val="1"/>
      <color theme="1"/>
      <sz val="11"/>
      <scheme val="minor"/>
    </font>
    <font>
      <name val="Calibri"/>
      <family val="2"/>
      <b val="1"/>
      <color rgb="FFFF0000"/>
      <sz val="11"/>
      <scheme val="minor"/>
    </font>
    <font>
      <name val="Calibri"/>
      <family val="2"/>
      <color theme="4" tint="-0.499984740745262"/>
      <sz val="26"/>
      <scheme val="minor"/>
    </font>
    <font>
      <name val="Calibri"/>
      <family val="2"/>
      <b val="1"/>
      <color theme="1"/>
      <sz val="11"/>
      <u val="single"/>
      <scheme val="minor"/>
    </font>
    <font>
      <name val="Calibri"/>
      <family val="2"/>
      <color theme="5"/>
      <sz val="11"/>
      <scheme val="minor"/>
    </font>
    <font>
      <name val="Calibri"/>
      <family val="2"/>
      <sz val="11"/>
      <scheme val="minor"/>
    </font>
  </fonts>
  <fills count="6">
    <fill>
      <patternFill/>
    </fill>
    <fill>
      <patternFill patternType="gray125"/>
    </fill>
    <fill>
      <patternFill patternType="solid">
        <fgColor rgb="FF92D050"/>
        <bgColor indexed="64"/>
      </patternFill>
    </fill>
    <fill>
      <patternFill patternType="solid">
        <fgColor theme="2" tint="-0.249977111117893"/>
        <bgColor indexed="64"/>
      </patternFill>
    </fill>
    <fill>
      <patternFill patternType="solid">
        <fgColor theme="5" tint="0.3999755851924192"/>
        <bgColor indexed="64"/>
      </patternFill>
    </fill>
    <fill>
      <patternFill patternType="solid">
        <fgColor rgb="FFFF0000"/>
        <bgColor indexed="64"/>
      </patternFill>
    </fill>
  </fills>
  <borders count="53">
    <border>
      <left/>
      <right/>
      <top/>
      <bottom/>
      <diagonal/>
    </border>
    <border>
      <left style="thin">
        <color indexed="64"/>
      </left>
      <right style="thin">
        <color indexed="64"/>
      </right>
      <top style="thin">
        <color indexed="64"/>
      </top>
      <bottom style="thin">
        <color indexed="64"/>
      </bottom>
      <diagonal/>
    </border>
    <border diagonalDown="1">
      <left style="thin">
        <color indexed="64"/>
      </left>
      <right style="thin">
        <color indexed="64"/>
      </right>
      <top style="thin">
        <color indexed="64"/>
      </top>
      <bottom style="thin">
        <color indexed="64"/>
      </bottom>
      <diagonal style="thin">
        <color indexed="64"/>
      </diagonal>
    </border>
    <border>
      <left/>
      <right style="thin">
        <color indexed="64"/>
      </right>
      <top/>
      <bottom/>
      <diagonal/>
    </border>
    <border>
      <left style="thin">
        <color indexed="64"/>
      </left>
      <right style="thin">
        <color indexed="64"/>
      </right>
      <top/>
      <bottom style="thin">
        <color indexed="64"/>
      </bottom>
      <diagonal/>
    </border>
    <border>
      <left/>
      <right style="medium">
        <color indexed="64"/>
      </right>
      <top/>
      <bottom/>
      <diagonal/>
    </border>
    <border>
      <left/>
      <right/>
      <top/>
      <bottom style="medium">
        <color indexed="64"/>
      </bottom>
      <diagonal/>
    </border>
    <border>
      <left/>
      <right style="medium">
        <color indexed="64"/>
      </right>
      <top/>
      <bottom style="medium">
        <color indexed="64"/>
      </bottom>
      <diagonal/>
    </border>
    <border>
      <left/>
      <right style="medium">
        <color indexed="64"/>
      </right>
      <top style="medium">
        <color indexed="64"/>
      </top>
      <bottom/>
      <diagonal/>
    </border>
    <border>
      <left style="medium">
        <color indexed="64"/>
      </left>
      <right/>
      <top/>
      <bottom/>
      <diagonal/>
    </border>
    <border>
      <left style="medium">
        <color indexed="64"/>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top/>
      <bottom style="thin">
        <color indexed="64"/>
      </bottom>
      <diagonal/>
    </border>
    <border>
      <left/>
      <right style="thin">
        <color indexed="64"/>
      </right>
      <top/>
      <bottom style="thin">
        <color indexed="64"/>
      </bottom>
      <diagonal/>
    </border>
    <border>
      <left style="medium">
        <color indexed="64"/>
      </left>
      <right/>
      <top style="medium">
        <color indexed="64"/>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indexed="64"/>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medium">
        <color indexed="64"/>
      </top>
      <bottom/>
      <diagonal/>
    </border>
    <border>
      <left style="thin">
        <color indexed="64"/>
      </left>
      <right style="thin">
        <color indexed="64"/>
      </right>
      <top style="medium">
        <color indexed="64"/>
      </top>
      <bottom style="thin">
        <color indexed="64"/>
      </bottom>
      <diagonal/>
    </border>
    <border>
      <left/>
      <right style="thin">
        <color indexed="64"/>
      </right>
      <top style="thin">
        <color indexed="64"/>
      </top>
      <bottom style="thin">
        <color indexed="64"/>
      </bottom>
      <diagonal/>
    </border>
    <border>
      <left style="thin">
        <color indexed="64"/>
      </left>
      <right style="medium">
        <color indexed="64"/>
      </right>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bottom style="thin">
        <color indexed="64"/>
      </bottom>
      <diagonal/>
    </border>
    <border>
      <left style="medium">
        <color indexed="64"/>
      </left>
      <right/>
      <top style="thin">
        <color indexed="64"/>
      </top>
      <bottom style="medium">
        <color indexed="64"/>
      </bottom>
      <diagonal/>
    </border>
    <border>
      <left style="medium">
        <color indexed="64"/>
      </left>
      <right/>
      <top style="thin">
        <color indexed="64"/>
      </top>
      <bottom/>
      <diagonal/>
    </border>
    <border>
      <left style="thin">
        <color indexed="64"/>
      </left>
      <right style="medium">
        <color indexed="64"/>
      </right>
      <top style="thin">
        <color indexed="64"/>
      </top>
      <bottom/>
      <diagonal/>
    </border>
    <border>
      <left/>
      <right style="medium">
        <color indexed="64"/>
      </right>
      <top style="thin">
        <color indexed="64"/>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style="thin">
        <color indexed="64"/>
      </right>
      <top style="medium">
        <color indexed="64"/>
      </top>
      <bottom/>
      <diagonal/>
    </border>
    <border>
      <left/>
      <right style="thin">
        <color indexed="64"/>
      </right>
      <top style="medium">
        <color indexed="64"/>
      </top>
      <bottom style="medium">
        <color indexed="64"/>
      </bottom>
      <diagonal/>
    </border>
  </borders>
  <cellStyleXfs count="1">
    <xf numFmtId="0" fontId="0" fillId="0" borderId="0"/>
  </cellStyleXfs>
  <cellXfs count="207">
    <xf numFmtId="0" fontId="0" fillId="0" borderId="0" pivotButton="0" quotePrefix="0" xfId="0"/>
    <xf numFmtId="0" fontId="0" fillId="0" borderId="0" applyAlignment="1" pivotButton="0" quotePrefix="0" xfId="0">
      <alignment horizontal="left" vertical="center"/>
    </xf>
    <xf numFmtId="0" fontId="0" fillId="0" borderId="0" applyAlignment="1" pivotButton="0" quotePrefix="0" xfId="0">
      <alignment horizontal="center" vertical="center"/>
    </xf>
    <xf numFmtId="0" fontId="0" fillId="0" borderId="5" applyAlignment="1" pivotButton="0" quotePrefix="0" xfId="0">
      <alignment horizontal="center" vertical="center"/>
    </xf>
    <xf numFmtId="0" fontId="0" fillId="0" borderId="6" applyAlignment="1" pivotButton="0" quotePrefix="0" xfId="0">
      <alignment horizontal="center" vertical="center"/>
    </xf>
    <xf numFmtId="0" fontId="0" fillId="0" borderId="7" applyAlignment="1" pivotButton="0" quotePrefix="0" xfId="0">
      <alignment horizontal="center" vertical="center"/>
    </xf>
    <xf numFmtId="1" fontId="0" fillId="0" borderId="9" applyAlignment="1" pivotButton="0" quotePrefix="0" xfId="0">
      <alignment horizontal="center" vertical="center"/>
    </xf>
    <xf numFmtId="1" fontId="0" fillId="0" borderId="10" applyAlignment="1" pivotButton="0" quotePrefix="0" xfId="0">
      <alignment horizontal="center" vertical="center"/>
    </xf>
    <xf numFmtId="1" fontId="0" fillId="0" borderId="6"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29" applyAlignment="1" pivotButton="0" quotePrefix="0" xfId="0">
      <alignment horizontal="center" vertical="center"/>
    </xf>
    <xf numFmtId="0" fontId="0" fillId="0" borderId="0" applyAlignment="1" pivotButton="0" quotePrefix="0" xfId="0">
      <alignment vertical="center"/>
    </xf>
    <xf numFmtId="0" fontId="0" fillId="0" borderId="31" applyAlignment="1" pivotButton="0" quotePrefix="0" xfId="0">
      <alignment horizontal="center" vertical="center"/>
    </xf>
    <xf numFmtId="0" fontId="0" fillId="0" borderId="32" applyAlignment="1" pivotButton="0" quotePrefix="0" xfId="0">
      <alignment horizontal="center" vertical="center"/>
    </xf>
    <xf numFmtId="0" fontId="0" fillId="0" borderId="33" applyAlignment="1" pivotButton="0" quotePrefix="0" xfId="0">
      <alignment horizontal="center" vertical="center"/>
    </xf>
    <xf numFmtId="0" fontId="0" fillId="0" borderId="34" applyAlignment="1" pivotButton="0" quotePrefix="0" xfId="0">
      <alignment horizontal="center" vertical="center"/>
    </xf>
    <xf numFmtId="0" fontId="0" fillId="0" borderId="3" applyAlignment="1" pivotButton="0" quotePrefix="0" xfId="0">
      <alignment horizontal="center" vertical="center"/>
    </xf>
    <xf numFmtId="0" fontId="0" fillId="0" borderId="35" applyAlignment="1" pivotButton="0" quotePrefix="0" xfId="0">
      <alignment horizontal="center" vertical="center"/>
    </xf>
    <xf numFmtId="0" fontId="0" fillId="0" borderId="19" applyAlignment="1" pivotButton="0" quotePrefix="0" xfId="0">
      <alignment horizontal="center" vertical="center"/>
    </xf>
    <xf numFmtId="0" fontId="0" fillId="0" borderId="20" applyAlignment="1" pivotButton="0" quotePrefix="0" xfId="0">
      <alignment horizontal="center" vertical="center"/>
    </xf>
    <xf numFmtId="1" fontId="0" fillId="0" borderId="0" applyAlignment="1" pivotButton="0" quotePrefix="0" xfId="0">
      <alignment horizontal="left" vertical="center"/>
    </xf>
    <xf numFmtId="0" fontId="0" fillId="0" borderId="0" applyAlignment="1" pivotButton="0" quotePrefix="0" xfId="0">
      <alignment horizontal="right" vertical="center"/>
    </xf>
    <xf numFmtId="164" fontId="0" fillId="0" borderId="9" applyAlignment="1" pivotButton="0" quotePrefix="0" xfId="0">
      <alignment horizontal="center" vertical="center"/>
    </xf>
    <xf numFmtId="0" fontId="0" fillId="0" borderId="31" applyAlignment="1" pivotButton="0" quotePrefix="0" xfId="0">
      <alignment horizontal="center" vertical="center" wrapText="1"/>
    </xf>
    <xf numFmtId="0" fontId="0" fillId="0" borderId="32" applyAlignment="1" pivotButton="0" quotePrefix="0" xfId="0">
      <alignment horizontal="center" vertical="center" wrapText="1"/>
    </xf>
    <xf numFmtId="0" fontId="0" fillId="0" borderId="33" applyAlignment="1" pivotButton="0" quotePrefix="0" xfId="0">
      <alignment horizontal="center" vertical="center" wrapText="1"/>
    </xf>
    <xf numFmtId="0" fontId="0" fillId="0" borderId="33" applyAlignment="1" pivotButton="0" quotePrefix="0" xfId="0">
      <alignment horizontal="left" vertical="center"/>
    </xf>
    <xf numFmtId="0" fontId="0" fillId="0" borderId="3" applyAlignment="1" pivotButton="0" quotePrefix="0" xfId="0">
      <alignment horizontal="left" vertical="center"/>
    </xf>
    <xf numFmtId="0" fontId="0" fillId="0" borderId="20" applyAlignment="1" pivotButton="0" quotePrefix="0" xfId="0">
      <alignment horizontal="left" vertical="center"/>
    </xf>
    <xf numFmtId="0" fontId="0" fillId="0" borderId="36" applyAlignment="1" pivotButton="0" quotePrefix="0" xfId="0">
      <alignment horizontal="center" vertical="center"/>
    </xf>
    <xf numFmtId="0" fontId="0" fillId="0" borderId="37" applyAlignment="1" pivotButton="0" quotePrefix="0" xfId="0">
      <alignment horizontal="center" vertical="center"/>
    </xf>
    <xf numFmtId="0" fontId="0" fillId="0" borderId="1" applyAlignment="1" pivotButton="0" quotePrefix="0" xfId="0">
      <alignment horizontal="center" vertical="center"/>
    </xf>
    <xf numFmtId="0" fontId="0" fillId="0" borderId="21" pivotButton="0" quotePrefix="0" xfId="0"/>
    <xf numFmtId="0" fontId="0" fillId="0" borderId="38" pivotButton="0" quotePrefix="0" xfId="0"/>
    <xf numFmtId="0" fontId="0" fillId="0" borderId="8" pivotButton="0" quotePrefix="0" xfId="0"/>
    <xf numFmtId="0" fontId="0" fillId="0" borderId="9" pivotButton="0" quotePrefix="0" xfId="0"/>
    <xf numFmtId="0" fontId="0" fillId="0" borderId="5" pivotButton="0" quotePrefix="0" xfId="0"/>
    <xf numFmtId="0" fontId="0" fillId="0" borderId="10" pivotButton="0" quotePrefix="0" xfId="0"/>
    <xf numFmtId="0" fontId="0" fillId="0" borderId="6" pivotButton="0" quotePrefix="0" xfId="0"/>
    <xf numFmtId="0" fontId="0" fillId="0" borderId="7" pivotButton="0" quotePrefix="0" xfId="0"/>
    <xf numFmtId="0" fontId="0" fillId="0" borderId="11" pivotButton="0" quotePrefix="0" xfId="0"/>
    <xf numFmtId="0" fontId="0" fillId="0" borderId="12" pivotButton="0" quotePrefix="0" xfId="0"/>
    <xf numFmtId="0" fontId="0" fillId="0" borderId="13" pivotButton="0" quotePrefix="0" xfId="0"/>
    <xf numFmtId="0" fontId="2" fillId="0" borderId="0" applyAlignment="1" pivotButton="0" quotePrefix="0" xfId="0">
      <alignment horizontal="left" vertical="center"/>
    </xf>
    <xf numFmtId="0" fontId="0" fillId="0" borderId="9" applyAlignment="1" pivotButton="0" quotePrefix="0" xfId="0">
      <alignment horizontal="left" vertical="center"/>
    </xf>
    <xf numFmtId="0" fontId="2" fillId="0" borderId="5" applyAlignment="1" pivotButton="0" quotePrefix="0" xfId="0">
      <alignment horizontal="left" vertical="center"/>
    </xf>
    <xf numFmtId="0" fontId="0" fillId="0" borderId="10" applyAlignment="1" pivotButton="0" quotePrefix="0" xfId="0">
      <alignment horizontal="left" vertical="center"/>
    </xf>
    <xf numFmtId="0" fontId="0" fillId="0" borderId="32" applyAlignment="1" pivotButton="0" quotePrefix="0" xfId="0">
      <alignment vertical="center"/>
    </xf>
    <xf numFmtId="0" fontId="0" fillId="0" borderId="19" applyAlignment="1" pivotButton="0" quotePrefix="0" xfId="0">
      <alignment vertical="center"/>
    </xf>
    <xf numFmtId="2" fontId="0" fillId="0" borderId="21" pivotButton="0" quotePrefix="0" xfId="0"/>
    <xf numFmtId="2" fontId="0" fillId="0" borderId="9" pivotButton="0" quotePrefix="0" xfId="0"/>
    <xf numFmtId="2" fontId="0" fillId="0" borderId="5" pivotButton="0" quotePrefix="0" xfId="0"/>
    <xf numFmtId="2" fontId="0" fillId="0" borderId="10" pivotButton="0" quotePrefix="0" xfId="0"/>
    <xf numFmtId="2" fontId="0" fillId="0" borderId="7" pivotButton="0" quotePrefix="0" xfId="0"/>
    <xf numFmtId="4" fontId="0" fillId="0" borderId="13" pivotButton="0" quotePrefix="0" xfId="0"/>
    <xf numFmtId="1" fontId="0" fillId="2" borderId="1" applyAlignment="1" applyProtection="1" pivotButton="0" quotePrefix="0" xfId="0">
      <alignment horizontal="center" vertical="center" wrapText="1"/>
      <protection locked="0" hidden="0"/>
    </xf>
    <xf numFmtId="0" fontId="0" fillId="2" borderId="1" applyAlignment="1" applyProtection="1" pivotButton="0" quotePrefix="0" xfId="0">
      <alignment horizontal="left" vertical="center" wrapText="1"/>
      <protection locked="0" hidden="0"/>
    </xf>
    <xf numFmtId="0" fontId="0" fillId="4" borderId="1" applyAlignment="1" applyProtection="1" pivotButton="0" quotePrefix="0" xfId="0">
      <alignment wrapText="1"/>
      <protection locked="0" hidden="0"/>
    </xf>
    <xf numFmtId="0" fontId="0" fillId="4" borderId="1" applyAlignment="1" applyProtection="1" pivotButton="0" quotePrefix="0" xfId="0">
      <alignment horizontal="left" vertical="center" wrapText="1"/>
      <protection locked="0" hidden="0"/>
    </xf>
    <xf numFmtId="0" fontId="0" fillId="0" borderId="11" applyAlignment="1" pivotButton="0" quotePrefix="0" xfId="0">
      <alignment horizontal="right"/>
    </xf>
    <xf numFmtId="0" fontId="0" fillId="0" borderId="12" applyAlignment="1" pivotButton="0" quotePrefix="0" xfId="0">
      <alignment horizontal="right"/>
    </xf>
    <xf numFmtId="0" fontId="0" fillId="0" borderId="22" applyAlignment="1" pivotButton="0" quotePrefix="0" xfId="0">
      <alignment horizontal="right"/>
    </xf>
    <xf numFmtId="0" fontId="0" fillId="0" borderId="24" applyAlignment="1" pivotButton="0" quotePrefix="0" xfId="0">
      <alignment horizontal="right"/>
    </xf>
    <xf numFmtId="0" fontId="0" fillId="0" borderId="27" applyAlignment="1" pivotButton="0" quotePrefix="0" xfId="0">
      <alignment horizontal="right"/>
    </xf>
    <xf numFmtId="0" fontId="0" fillId="0" borderId="0" applyAlignment="1" pivotButton="0" quotePrefix="0" xfId="0">
      <alignment horizontal="left"/>
    </xf>
    <xf numFmtId="165" fontId="0" fillId="0" borderId="0" applyAlignment="1" pivotButton="0" quotePrefix="0" xfId="0">
      <alignment horizontal="center"/>
    </xf>
    <xf numFmtId="166" fontId="0" fillId="0" borderId="28" applyAlignment="1" pivotButton="0" quotePrefix="0" xfId="0">
      <alignment horizontal="center"/>
    </xf>
    <xf numFmtId="166" fontId="0" fillId="0" borderId="23" applyAlignment="1" pivotButton="0" quotePrefix="0" xfId="0">
      <alignment horizontal="center"/>
    </xf>
    <xf numFmtId="0" fontId="0" fillId="0" borderId="26"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xf numFmtId="0" fontId="0" fillId="0" borderId="0" applyAlignment="1" pivotButton="0" quotePrefix="0" xfId="0">
      <alignment horizontal="center"/>
    </xf>
    <xf numFmtId="167" fontId="0" fillId="0" borderId="0" applyAlignment="1" pivotButton="0" quotePrefix="0" xfId="0">
      <alignment horizontal="center" vertical="center"/>
    </xf>
    <xf numFmtId="168" fontId="0" fillId="0" borderId="0" applyAlignment="1" pivotButton="0" quotePrefix="0" xfId="0">
      <alignment horizontal="center"/>
    </xf>
    <xf numFmtId="0" fontId="0" fillId="5" borderId="18" applyAlignment="1" applyProtection="1" pivotButton="0" quotePrefix="0" xfId="0">
      <alignment horizontal="right" vertical="center"/>
      <protection locked="0" hidden="0"/>
    </xf>
    <xf numFmtId="1" fontId="0" fillId="0" borderId="11" applyAlignment="1" pivotButton="0" quotePrefix="0" xfId="0">
      <alignment vertical="center"/>
    </xf>
    <xf numFmtId="1" fontId="0" fillId="0" borderId="12" applyAlignment="1" pivotButton="0" quotePrefix="0" xfId="0">
      <alignment vertical="center"/>
    </xf>
    <xf numFmtId="0" fontId="5" fillId="0" borderId="0" pivotButton="0" quotePrefix="0" xfId="0"/>
    <xf numFmtId="0" fontId="6" fillId="0" borderId="0" pivotButton="0" quotePrefix="0" xfId="0"/>
    <xf numFmtId="0" fontId="6" fillId="0" borderId="0" applyAlignment="1" pivotButton="0" quotePrefix="0" xfId="0">
      <alignment vertical="center"/>
    </xf>
    <xf numFmtId="0" fontId="6" fillId="0" borderId="0" applyAlignment="1" pivotButton="0" quotePrefix="0" xfId="0">
      <alignment horizontal="left" vertical="center" wrapText="1"/>
    </xf>
    <xf numFmtId="0" fontId="6" fillId="0" borderId="0" applyAlignment="1" pivotButton="0" quotePrefix="0" xfId="0">
      <alignment horizontal="left" vertical="center"/>
    </xf>
    <xf numFmtId="0" fontId="6" fillId="0" borderId="0" applyAlignment="1" pivotButton="0" quotePrefix="0" xfId="0">
      <alignment horizontal="center" vertical="center"/>
    </xf>
    <xf numFmtId="0" fontId="6" fillId="0" borderId="32" applyAlignment="1" pivotButton="0" quotePrefix="0" xfId="0">
      <alignment horizontal="center" vertical="center" wrapText="1"/>
    </xf>
    <xf numFmtId="0" fontId="6" fillId="0" borderId="19" applyAlignment="1" pivotButton="0" quotePrefix="0" xfId="0">
      <alignment horizontal="center" vertical="center"/>
    </xf>
    <xf numFmtId="0" fontId="6" fillId="0" borderId="37" applyAlignment="1" pivotButton="0" quotePrefix="0" xfId="0">
      <alignment horizontal="center" vertical="center"/>
    </xf>
    <xf numFmtId="0" fontId="6" fillId="0" borderId="4" applyAlignment="1" pivotButton="0" quotePrefix="0" xfId="0">
      <alignment horizontal="center" vertical="center"/>
    </xf>
    <xf numFmtId="0" fontId="6" fillId="0" borderId="34" applyAlignment="1" pivotButton="0" quotePrefix="0" xfId="0">
      <alignment horizontal="center" vertical="center"/>
    </xf>
    <xf numFmtId="0" fontId="6" fillId="0" borderId="3" applyAlignment="1" pivotButton="0" quotePrefix="0" xfId="0">
      <alignment horizontal="left" vertical="center"/>
    </xf>
    <xf numFmtId="1" fontId="6" fillId="0" borderId="12" pivotButton="0" quotePrefix="0" xfId="0"/>
    <xf numFmtId="0" fontId="6" fillId="0" borderId="12" applyAlignment="1" pivotButton="0" quotePrefix="0" xfId="0">
      <alignment vertical="center"/>
    </xf>
    <xf numFmtId="1" fontId="6" fillId="0" borderId="6" pivotButton="0" quotePrefix="0" xfId="0"/>
    <xf numFmtId="0" fontId="6" fillId="0" borderId="6" applyAlignment="1" pivotButton="0" quotePrefix="0" xfId="0">
      <alignment horizontal="center" vertical="center"/>
    </xf>
    <xf numFmtId="0" fontId="0" fillId="2" borderId="1" applyAlignment="1" applyProtection="1" pivotButton="0" quotePrefix="0" xfId="0">
      <alignment wrapText="1"/>
      <protection locked="0" hidden="0"/>
    </xf>
    <xf numFmtId="0" fontId="6" fillId="0" borderId="0" applyAlignment="1" pivotButton="0" quotePrefix="0" xfId="0">
      <alignment horizontal="right" vertical="center"/>
    </xf>
    <xf numFmtId="0" fontId="6" fillId="0" borderId="0" applyAlignment="1" pivotButton="0" quotePrefix="0" xfId="0">
      <alignment horizontal="right"/>
    </xf>
    <xf numFmtId="0" fontId="6" fillId="0" borderId="0" applyAlignment="1" pivotButton="0" quotePrefix="0" xfId="0">
      <alignment horizontal="center" vertical="center" wrapText="1"/>
    </xf>
    <xf numFmtId="0" fontId="0" fillId="4" borderId="18" applyAlignment="1" applyProtection="1" pivotButton="0" quotePrefix="0" xfId="0">
      <alignment horizontal="right" vertical="center"/>
      <protection locked="0" hidden="0"/>
    </xf>
    <xf numFmtId="0" fontId="0" fillId="0" borderId="5" applyAlignment="1" pivotButton="0" quotePrefix="0" xfId="0">
      <alignment horizontal="center"/>
    </xf>
    <xf numFmtId="164" fontId="0" fillId="0" borderId="0" applyAlignment="1" pivotButton="0" quotePrefix="0" xfId="0">
      <alignment horizontal="center" vertical="center"/>
    </xf>
    <xf numFmtId="1" fontId="0" fillId="0" borderId="0" applyAlignment="1" pivotButton="0" quotePrefix="0" xfId="0">
      <alignment horizontal="center" vertical="center"/>
    </xf>
    <xf numFmtId="1" fontId="6" fillId="0" borderId="0" pivotButton="0" quotePrefix="0" xfId="0"/>
    <xf numFmtId="0" fontId="0" fillId="0" borderId="2" applyAlignment="1" pivotButton="0" quotePrefix="0" xfId="0">
      <alignment horizontal="left" vertical="center" wrapText="1"/>
    </xf>
    <xf numFmtId="0" fontId="0" fillId="0" borderId="0" applyAlignment="1" pivotButton="0" quotePrefix="0" xfId="0">
      <alignment horizontal="center" vertical="center" wrapText="1"/>
    </xf>
    <xf numFmtId="0" fontId="0" fillId="3" borderId="0" applyAlignment="1" pivotButton="0" quotePrefix="0" xfId="0">
      <alignment horizontal="center" vertical="center" wrapText="1"/>
    </xf>
    <xf numFmtId="0" fontId="0" fillId="0" borderId="0" applyAlignment="1" pivotButton="0" quotePrefix="0" xfId="0">
      <alignment wrapText="1"/>
    </xf>
    <xf numFmtId="0" fontId="3" fillId="0" borderId="0" applyAlignment="1" pivotButton="0" quotePrefix="0" xfId="0">
      <alignment horizontal="center" vertical="center" wrapText="1"/>
    </xf>
    <xf numFmtId="0" fontId="0" fillId="0" borderId="0" applyAlignment="1" pivotButton="0" quotePrefix="0" xfId="0">
      <alignment horizontal="left" vertical="center" wrapText="1"/>
    </xf>
    <xf numFmtId="0" fontId="0" fillId="3" borderId="0" applyAlignment="1" pivotButton="0" quotePrefix="0" xfId="0">
      <alignment horizontal="left" vertical="center" wrapText="1"/>
    </xf>
    <xf numFmtId="0" fontId="0" fillId="0" borderId="1" applyAlignment="1" pivotButton="0" quotePrefix="0" xfId="0">
      <alignment horizontal="left" vertical="center" wrapText="1"/>
    </xf>
    <xf numFmtId="0" fontId="0" fillId="0" borderId="1" applyAlignment="1" pivotButton="0" quotePrefix="0" xfId="0">
      <alignment horizontal="center" vertical="center" wrapText="1"/>
    </xf>
    <xf numFmtId="0" fontId="0" fillId="0" borderId="1" applyAlignment="1" pivotButton="0" quotePrefix="0" xfId="0">
      <alignment wrapText="1"/>
    </xf>
    <xf numFmtId="0" fontId="0" fillId="0" borderId="27" applyAlignment="1" pivotButton="0" quotePrefix="0" xfId="0">
      <alignment wrapText="1"/>
    </xf>
    <xf numFmtId="14" fontId="0" fillId="0" borderId="28" applyAlignment="1" pivotButton="0" quotePrefix="0" xfId="0">
      <alignment horizontal="left" vertical="center" wrapText="1"/>
    </xf>
    <xf numFmtId="0" fontId="0" fillId="0" borderId="22" applyAlignment="1" pivotButton="0" quotePrefix="0" xfId="0">
      <alignment wrapText="1"/>
    </xf>
    <xf numFmtId="0" fontId="0" fillId="0" borderId="23" applyAlignment="1" pivotButton="0" quotePrefix="1" xfId="0">
      <alignment horizontal="left" vertical="center" wrapText="1"/>
    </xf>
    <xf numFmtId="0" fontId="0" fillId="0" borderId="24" applyAlignment="1" pivotButton="0" quotePrefix="0" xfId="0">
      <alignment wrapText="1"/>
    </xf>
    <xf numFmtId="0" fontId="0" fillId="0" borderId="26" applyAlignment="1" pivotButton="0" quotePrefix="0" xfId="0">
      <alignment horizontal="left" vertical="center" wrapText="1"/>
    </xf>
    <xf numFmtId="0" fontId="0" fillId="0" borderId="16" applyAlignment="1" pivotButton="0" quotePrefix="0" xfId="0">
      <alignment horizontal="left" vertical="center"/>
    </xf>
    <xf numFmtId="0" fontId="0" fillId="0" borderId="17" applyAlignment="1" pivotButton="0" quotePrefix="0" xfId="0">
      <alignment horizontal="left" vertical="center"/>
    </xf>
    <xf numFmtId="0" fontId="0" fillId="0" borderId="18" applyAlignment="1" pivotButton="0" quotePrefix="0" xfId="0">
      <alignment horizontal="left" vertical="center"/>
    </xf>
    <xf numFmtId="0" fontId="0" fillId="0" borderId="27" applyAlignment="1" pivotButton="0" quotePrefix="0" xfId="0">
      <alignment horizontal="left" vertical="center"/>
    </xf>
    <xf numFmtId="0" fontId="1" fillId="0" borderId="39" applyAlignment="1" pivotButton="0" quotePrefix="0" xfId="0">
      <alignment horizontal="left" vertical="center"/>
    </xf>
    <xf numFmtId="0" fontId="0" fillId="0" borderId="39" applyAlignment="1" pivotButton="0" quotePrefix="0" xfId="0">
      <alignment horizontal="left" vertical="center"/>
    </xf>
    <xf numFmtId="0" fontId="0" fillId="0" borderId="28" applyAlignment="1" pivotButton="0" quotePrefix="0" xfId="0">
      <alignment horizontal="left" vertical="center"/>
    </xf>
    <xf numFmtId="0" fontId="0" fillId="0" borderId="22" applyAlignment="1" pivotButton="0" quotePrefix="0" xfId="0">
      <alignment horizontal="left" vertical="center"/>
    </xf>
    <xf numFmtId="0" fontId="0" fillId="0" borderId="42" applyAlignment="1" pivotButton="0" quotePrefix="0" xfId="0">
      <alignment horizontal="left" vertical="center"/>
    </xf>
    <xf numFmtId="0" fontId="0" fillId="0" borderId="28" applyAlignment="1" pivotButton="0" quotePrefix="0" xfId="0">
      <alignment horizontal="center" vertical="center"/>
    </xf>
    <xf numFmtId="0" fontId="0" fillId="0" borderId="45" applyAlignment="1" pivotButton="0" quotePrefix="0" xfId="0">
      <alignment horizontal="left" vertical="center"/>
    </xf>
    <xf numFmtId="0" fontId="0" fillId="0" borderId="26" applyAlignment="1" pivotButton="0" quotePrefix="0" xfId="0">
      <alignment horizontal="center" vertical="center"/>
    </xf>
    <xf numFmtId="0" fontId="0" fillId="0" borderId="44" applyAlignment="1" pivotButton="0" quotePrefix="0" xfId="0">
      <alignment horizontal="left" vertical="center"/>
    </xf>
    <xf numFmtId="169" fontId="0" fillId="0" borderId="41" applyAlignment="1" pivotButton="0" quotePrefix="0" xfId="0">
      <alignment horizontal="right" vertical="center"/>
    </xf>
    <xf numFmtId="0" fontId="0" fillId="0" borderId="43" applyAlignment="1" pivotButton="0" quotePrefix="0" xfId="0">
      <alignment horizontal="left" vertical="center"/>
    </xf>
    <xf numFmtId="169" fontId="0" fillId="0" borderId="23" applyAlignment="1" pivotButton="0" quotePrefix="0" xfId="0">
      <alignment horizontal="right" vertical="center"/>
    </xf>
    <xf numFmtId="0" fontId="0" fillId="0" borderId="46" applyAlignment="1" pivotButton="0" quotePrefix="0" xfId="0">
      <alignment horizontal="left" vertical="center"/>
    </xf>
    <xf numFmtId="169" fontId="0" fillId="0" borderId="47" applyAlignment="1" pivotButton="0" quotePrefix="0" xfId="0">
      <alignment horizontal="right" vertical="center"/>
    </xf>
    <xf numFmtId="0" fontId="0" fillId="0" borderId="24" applyAlignment="1" pivotButton="0" quotePrefix="0" xfId="0">
      <alignment horizontal="left" vertical="center"/>
    </xf>
    <xf numFmtId="168" fontId="0" fillId="0" borderId="28" applyAlignment="1" pivotButton="0" quotePrefix="0" xfId="0">
      <alignment horizontal="right" vertical="center"/>
    </xf>
    <xf numFmtId="0" fontId="0" fillId="0" borderId="1" applyAlignment="1" pivotButton="0" quotePrefix="0" xfId="0">
      <alignment horizontal="left" vertical="center"/>
    </xf>
    <xf numFmtId="0" fontId="0" fillId="0" borderId="23" applyAlignment="1" pivotButton="0" quotePrefix="0" xfId="0">
      <alignment horizontal="left" vertical="center"/>
    </xf>
    <xf numFmtId="0" fontId="0" fillId="0" borderId="25" applyAlignment="1" pivotButton="0" quotePrefix="0" xfId="0">
      <alignment horizontal="left" vertical="center"/>
    </xf>
    <xf numFmtId="0" fontId="0" fillId="0" borderId="26" applyAlignment="1" pivotButton="0" quotePrefix="0" xfId="0">
      <alignment horizontal="left" vertical="center"/>
    </xf>
    <xf numFmtId="0" fontId="6" fillId="2" borderId="1" applyAlignment="1" applyProtection="1" pivotButton="0" quotePrefix="0" xfId="0">
      <alignment horizontal="center" wrapText="1"/>
      <protection locked="0" hidden="0"/>
    </xf>
    <xf numFmtId="1" fontId="6" fillId="2" borderId="1" applyAlignment="1" applyProtection="1" pivotButton="0" quotePrefix="0" xfId="0">
      <alignment horizontal="center" wrapText="1"/>
      <protection locked="0" hidden="0"/>
    </xf>
    <xf numFmtId="0" fontId="0" fillId="0" borderId="28" applyAlignment="1" pivotButton="0" quotePrefix="1" xfId="0">
      <alignment horizontal="center" vertical="center"/>
    </xf>
    <xf numFmtId="0" fontId="0" fillId="0" borderId="21" applyAlignment="1" pivotButton="0" quotePrefix="0" xfId="0">
      <alignment horizontal="left" vertical="center" wrapText="1"/>
    </xf>
    <xf numFmtId="0" fontId="0" fillId="0" borderId="8" applyAlignment="1" pivotButton="0" quotePrefix="0" xfId="0">
      <alignment horizontal="left" vertical="center"/>
    </xf>
    <xf numFmtId="0" fontId="0" fillId="0" borderId="30" applyAlignment="1" pivotButton="0" quotePrefix="0" xfId="0">
      <alignment horizontal="left" vertical="center"/>
    </xf>
    <xf numFmtId="0" fontId="0" fillId="0" borderId="40" applyAlignment="1" pivotButton="0" quotePrefix="0" xfId="0">
      <alignment horizontal="left" vertical="center"/>
    </xf>
    <xf numFmtId="0" fontId="0" fillId="0" borderId="9" applyAlignment="1" pivotButton="0" quotePrefix="0" xfId="0">
      <alignment horizontal="left" vertical="center" wrapText="1"/>
    </xf>
    <xf numFmtId="0" fontId="0" fillId="0" borderId="5" applyAlignment="1" pivotButton="0" quotePrefix="0" xfId="0">
      <alignment horizontal="left" vertical="center"/>
    </xf>
    <xf numFmtId="0" fontId="0" fillId="0" borderId="9" applyAlignment="1" pivotButton="0" quotePrefix="0" xfId="0">
      <alignment horizontal="left" vertical="center"/>
    </xf>
    <xf numFmtId="0" fontId="0" fillId="0" borderId="10" applyAlignment="1" pivotButton="0" quotePrefix="0" xfId="0">
      <alignment horizontal="left" vertical="center"/>
    </xf>
    <xf numFmtId="0" fontId="0" fillId="0" borderId="7" applyAlignment="1" pivotButton="0" quotePrefix="0" xfId="0">
      <alignment horizontal="left" vertical="center"/>
    </xf>
    <xf numFmtId="0" fontId="0" fillId="0" borderId="14" applyAlignment="1" pivotButton="0" quotePrefix="0" xfId="0">
      <alignment horizontal="left" vertical="center"/>
    </xf>
    <xf numFmtId="0" fontId="0" fillId="0" borderId="15" applyAlignment="1" pivotButton="0" quotePrefix="0" xfId="0">
      <alignment horizontal="left" vertical="center"/>
    </xf>
    <xf numFmtId="0" fontId="0" fillId="0" borderId="21" applyAlignment="1" pivotButton="0" quotePrefix="0" xfId="0">
      <alignment wrapText="1"/>
    </xf>
    <xf numFmtId="0" fontId="0" fillId="0" borderId="8" applyAlignment="1" pivotButton="0" quotePrefix="0" xfId="0">
      <alignment wrapText="1"/>
    </xf>
    <xf numFmtId="0" fontId="0" fillId="0" borderId="10" applyAlignment="1" pivotButton="0" quotePrefix="0" xfId="0">
      <alignment wrapText="1"/>
    </xf>
    <xf numFmtId="0" fontId="0" fillId="0" borderId="7" applyAlignment="1" pivotButton="0" quotePrefix="0" xfId="0">
      <alignment wrapText="1"/>
    </xf>
    <xf numFmtId="0" fontId="0" fillId="0" borderId="21" applyAlignment="1" pivotButton="0" quotePrefix="0" xfId="0">
      <alignment horizontal="center" vertical="center" wrapText="1"/>
    </xf>
    <xf numFmtId="0" fontId="0" fillId="0" borderId="8" applyAlignment="1" pivotButton="0" quotePrefix="0" xfId="0">
      <alignment horizontal="center" vertical="center" wrapText="1"/>
    </xf>
    <xf numFmtId="0" fontId="0" fillId="0" borderId="9" applyAlignment="1" pivotButton="0" quotePrefix="0" xfId="0">
      <alignment horizontal="center" vertical="center" wrapText="1"/>
    </xf>
    <xf numFmtId="0" fontId="0" fillId="0" borderId="5" applyAlignment="1" pivotButton="0" quotePrefix="0" xfId="0">
      <alignment horizontal="center" vertical="center" wrapText="1"/>
    </xf>
    <xf numFmtId="0" fontId="0" fillId="0" borderId="10" applyAlignment="1" pivotButton="0" quotePrefix="0" xfId="0">
      <alignment horizontal="center" vertical="center" wrapText="1"/>
    </xf>
    <xf numFmtId="0" fontId="0" fillId="0" borderId="7" applyAlignment="1" pivotButton="0" quotePrefix="0" xfId="0">
      <alignment horizontal="center" vertical="center" wrapText="1"/>
    </xf>
    <xf numFmtId="0" fontId="0" fillId="0" borderId="11" applyAlignment="1" pivotButton="0" quotePrefix="0" xfId="0">
      <alignment horizontal="center" vertical="center" wrapText="1"/>
    </xf>
    <xf numFmtId="0" fontId="0" fillId="0" borderId="13" applyAlignment="1" pivotButton="0" quotePrefix="0" xfId="0">
      <alignment horizontal="center" vertical="center" wrapText="1"/>
    </xf>
    <xf numFmtId="0" fontId="2" fillId="0" borderId="21" applyAlignment="1" pivotButton="0" quotePrefix="0" xfId="0">
      <alignment horizontal="left" vertical="top" wrapText="1"/>
    </xf>
    <xf numFmtId="0" fontId="2" fillId="0" borderId="38" applyAlignment="1" pivotButton="0" quotePrefix="0" xfId="0">
      <alignment horizontal="left" vertical="top" wrapText="1"/>
    </xf>
    <xf numFmtId="0" fontId="2" fillId="0" borderId="8" applyAlignment="1" pivotButton="0" quotePrefix="0" xfId="0">
      <alignment horizontal="left" vertical="top" wrapText="1"/>
    </xf>
    <xf numFmtId="0" fontId="2" fillId="0" borderId="9" applyAlignment="1" pivotButton="0" quotePrefix="0" xfId="0">
      <alignment horizontal="left" vertical="top" wrapText="1"/>
    </xf>
    <xf numFmtId="0" fontId="2" fillId="0" borderId="0" applyAlignment="1" pivotButton="0" quotePrefix="0" xfId="0">
      <alignment horizontal="left" vertical="top" wrapText="1"/>
    </xf>
    <xf numFmtId="0" fontId="2" fillId="0" borderId="5" applyAlignment="1" pivotButton="0" quotePrefix="0" xfId="0">
      <alignment horizontal="left" vertical="top" wrapText="1"/>
    </xf>
    <xf numFmtId="0" fontId="0" fillId="0" borderId="9" applyAlignment="1" pivotButton="0" quotePrefix="0" xfId="0">
      <alignment wrapText="1"/>
    </xf>
    <xf numFmtId="0" fontId="0" fillId="0" borderId="0" applyAlignment="1" pivotButton="0" quotePrefix="0" xfId="0">
      <alignment wrapText="1"/>
    </xf>
    <xf numFmtId="0" fontId="0" fillId="0" borderId="5" applyAlignment="1" pivotButton="0" quotePrefix="0" xfId="0">
      <alignment wrapText="1"/>
    </xf>
    <xf numFmtId="0" fontId="0" fillId="0" borderId="6" applyAlignment="1" pivotButton="0" quotePrefix="0" xfId="0">
      <alignment wrapText="1"/>
    </xf>
    <xf numFmtId="0" fontId="0" fillId="2" borderId="1" applyAlignment="1" applyProtection="1" pivotButton="0" quotePrefix="0" xfId="0">
      <alignment horizontal="center" vertical="center" wrapText="1"/>
      <protection locked="0" hidden="0"/>
    </xf>
    <xf numFmtId="0" fontId="0" fillId="0" borderId="1" applyAlignment="1" pivotButton="0" quotePrefix="0" xfId="0">
      <alignment horizontal="center" vertical="center" wrapText="1"/>
    </xf>
    <xf numFmtId="0" fontId="0" fillId="0" borderId="11"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16" applyAlignment="1" pivotButton="0" quotePrefix="0" xfId="0">
      <alignment horizontal="center" vertical="center"/>
    </xf>
    <xf numFmtId="0" fontId="0" fillId="0" borderId="18" applyAlignment="1" pivotButton="0" quotePrefix="0" xfId="0">
      <alignment horizontal="center" vertical="center"/>
    </xf>
    <xf numFmtId="0" fontId="0" fillId="0" borderId="14" pivotButton="0" quotePrefix="0" xfId="0"/>
    <xf numFmtId="0" fontId="0" fillId="0" borderId="15" pivotButton="0" quotePrefix="0" xfId="0"/>
    <xf numFmtId="169" fontId="0" fillId="0" borderId="41" applyAlignment="1" pivotButton="0" quotePrefix="0" xfId="0">
      <alignment horizontal="right" vertical="center"/>
    </xf>
    <xf numFmtId="169" fontId="0" fillId="0" borderId="23" applyAlignment="1" pivotButton="0" quotePrefix="0" xfId="0">
      <alignment horizontal="right" vertical="center"/>
    </xf>
    <xf numFmtId="169" fontId="0" fillId="0" borderId="47" applyAlignment="1" pivotButton="0" quotePrefix="0" xfId="0">
      <alignment horizontal="right" vertical="center"/>
    </xf>
    <xf numFmtId="168" fontId="0" fillId="0" borderId="28" applyAlignment="1" pivotButton="0" quotePrefix="0" xfId="0">
      <alignment horizontal="right" vertical="center"/>
    </xf>
    <xf numFmtId="0" fontId="0" fillId="0" borderId="40" pivotButton="0" quotePrefix="0" xfId="0"/>
    <xf numFmtId="0" fontId="0" fillId="0" borderId="49" applyAlignment="1" pivotButton="0" quotePrefix="0" xfId="0">
      <alignment horizontal="left" vertical="center" wrapText="1"/>
    </xf>
    <xf numFmtId="0" fontId="0" fillId="0" borderId="50" applyAlignment="1" pivotButton="0" quotePrefix="0" xfId="0">
      <alignment horizontal="left" vertical="center" wrapText="1"/>
    </xf>
    <xf numFmtId="0" fontId="0" fillId="0" borderId="29" applyAlignment="1" pivotButton="0" quotePrefix="0" xfId="0">
      <alignment wrapText="1"/>
    </xf>
    <xf numFmtId="0" fontId="2" fillId="0" borderId="29" applyAlignment="1" pivotButton="0" quotePrefix="0" xfId="0">
      <alignment horizontal="left" vertical="top" wrapText="1"/>
    </xf>
    <xf numFmtId="0" fontId="0" fillId="0" borderId="40" applyProtection="1" pivotButton="0" quotePrefix="0" xfId="0">
      <protection locked="0" hidden="0"/>
    </xf>
    <xf numFmtId="0" fontId="0" fillId="0" borderId="29" applyAlignment="1" pivotButton="0" quotePrefix="0" xfId="0">
      <alignment horizontal="center" vertical="center" wrapText="1"/>
    </xf>
    <xf numFmtId="168" fontId="0" fillId="0" borderId="0" applyAlignment="1" pivotButton="0" quotePrefix="0" xfId="0">
      <alignment horizontal="center"/>
    </xf>
    <xf numFmtId="165" fontId="0" fillId="0" borderId="0" applyAlignment="1" pivotButton="0" quotePrefix="0" xfId="0">
      <alignment horizontal="center"/>
    </xf>
    <xf numFmtId="167" fontId="0" fillId="0" borderId="0" applyAlignment="1" pivotButton="0" quotePrefix="0" xfId="0">
      <alignment horizontal="center" vertical="center"/>
    </xf>
    <xf numFmtId="0" fontId="0" fillId="0" borderId="52" pivotButton="0" quotePrefix="0" xfId="0"/>
    <xf numFmtId="166" fontId="0" fillId="0" borderId="28" applyAlignment="1" pivotButton="0" quotePrefix="0" xfId="0">
      <alignment horizontal="center"/>
    </xf>
    <xf numFmtId="166" fontId="0" fillId="0" borderId="23"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cellXfs>
  <cellStyles count="1">
    <cellStyle name="Normal" xfId="0" builtinId="0"/>
  </cellStyles>
  <dxfs count="26">
    <dxf>
      <fill>
        <patternFill>
          <bgColor theme="5" tint="0.3999450666829432"/>
        </patternFill>
      </fill>
    </dxf>
    <dxf>
      <fill>
        <patternFill>
          <bgColor rgb="FF92D05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5" tint="0.3999450666829432"/>
        </patternFill>
      </fill>
    </dxf>
    <dxf>
      <fill>
        <patternFill>
          <bgColor theme="4" tint="0.3999450666829432"/>
        </patternFill>
      </fill>
      <border>
        <left style="thin">
          <color auto="1"/>
        </left>
        <right style="thin">
          <color auto="1"/>
        </right>
        <top style="thin">
          <color auto="1"/>
        </top>
        <bottom style="thin">
          <color auto="1"/>
        </bottom>
      </border>
    </dxf>
    <dxf>
      <fill>
        <patternFill>
          <bgColor rgb="FFFF0000"/>
        </patternFill>
      </fill>
    </dxf>
    <dxf>
      <numFmt numFmtId="170" formatCode="0.0"/>
    </dxf>
    <dxf>
      <fill>
        <patternFill>
          <bgColor rgb="FF92D050"/>
        </patternFill>
      </fill>
    </dxf>
    <dxf>
      <fill>
        <patternFill>
          <bgColor theme="5" tint="0.3999450666829432"/>
        </patternFill>
      </fill>
    </dxf>
    <dxf>
      <fill>
        <patternFill>
          <bgColor theme="5" tint="0.3999450666829432"/>
        </patternFill>
      </fill>
    </dxf>
    <dxf>
      <fill>
        <patternFill>
          <bgColor rgb="FFFF0000"/>
        </patternFill>
      </fill>
    </dxf>
    <dxf>
      <fill>
        <patternFill>
          <bgColor rgb="FFFF0000"/>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rgb="FF92D050"/>
        </patternFill>
      </fill>
    </dxf>
  </dxf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2:H131"/>
  <sheetViews>
    <sheetView zoomScaleNormal="100" workbookViewId="0">
      <selection activeCell="J13" sqref="J13"/>
    </sheetView>
  </sheetViews>
  <sheetFormatPr baseColWidth="8" defaultColWidth="9.140625" defaultRowHeight="15"/>
  <cols>
    <col width="11.7109375" bestFit="1" customWidth="1" style="1" min="1" max="1"/>
    <col width="12.7109375" bestFit="1" customWidth="1" style="1" min="2" max="2"/>
    <col width="92.42578125" bestFit="1" customWidth="1" style="1" min="3" max="3"/>
    <col width="9.140625" customWidth="1" style="1" min="4" max="5"/>
    <col width="9.140625" customWidth="1" style="1" min="6" max="6"/>
    <col width="20.7109375" customWidth="1" style="1" min="7" max="8"/>
    <col width="9.140625" customWidth="1" style="1" min="9" max="16384"/>
  </cols>
  <sheetData>
    <row r="1" ht="15.95" customHeight="1" thickBot="1"/>
    <row r="2" ht="15.95" customHeight="1" thickBot="1">
      <c r="A2" s="119" t="inlineStr">
        <is>
          <t>Import code</t>
        </is>
      </c>
      <c r="B2" s="120" t="inlineStr">
        <is>
          <t>Article code</t>
        </is>
      </c>
      <c r="C2" s="120" t="inlineStr">
        <is>
          <t>Description</t>
        </is>
      </c>
      <c r="D2" s="120" t="inlineStr">
        <is>
          <t>Quantity</t>
        </is>
      </c>
      <c r="E2" s="121" t="inlineStr">
        <is>
          <t>Unit</t>
        </is>
      </c>
      <c r="G2" s="119" t="inlineStr">
        <is>
          <t>Project reference</t>
        </is>
      </c>
      <c r="H2" s="98" t="n"/>
    </row>
    <row r="3" ht="15.95" customHeight="1" thickBot="1">
      <c r="A3" s="122" t="n">
        <v>1</v>
      </c>
      <c r="B3" s="123" t="n">
        <v>1</v>
      </c>
      <c r="C3" s="123">
        <f>List!D236</f>
        <v/>
      </c>
      <c r="D3" s="124" t="n">
        <v>1</v>
      </c>
      <c r="E3" s="125" t="inlineStr">
        <is>
          <t>st</t>
        </is>
      </c>
      <c r="G3" s="119" t="inlineStr">
        <is>
          <t>Description language</t>
        </is>
      </c>
      <c r="H3" s="75" t="inlineStr">
        <is>
          <t>English</t>
        </is>
      </c>
    </row>
    <row r="4" ht="15.95" customHeight="1" thickBot="1">
      <c r="A4" s="126">
        <f>IF(B4="",0,3)</f>
        <v/>
      </c>
      <c r="B4" s="140">
        <f>List!D237</f>
        <v/>
      </c>
      <c r="C4" s="186" t="n"/>
      <c r="D4" s="186" t="n"/>
      <c r="E4" s="187" t="n"/>
    </row>
    <row r="5">
      <c r="A5" s="126">
        <f>IF(B5="",0,3)</f>
        <v/>
      </c>
      <c r="B5" s="140">
        <f>List!D238</f>
        <v/>
      </c>
      <c r="C5" s="186" t="n"/>
      <c r="D5" s="186" t="n"/>
      <c r="E5" s="187" t="n"/>
      <c r="G5" s="127" t="inlineStr">
        <is>
          <t>Agent name</t>
        </is>
      </c>
      <c r="H5" s="128" t="inlineStr">
        <is>
          <t>Bycommute</t>
        </is>
      </c>
    </row>
    <row r="6" ht="15.95" customHeight="1" thickBot="1">
      <c r="A6" s="126">
        <f>IF(B6="",0,3)</f>
        <v/>
      </c>
      <c r="B6" s="140">
        <f>List!D239</f>
        <v/>
      </c>
      <c r="C6" s="186" t="n"/>
      <c r="D6" s="186" t="n"/>
      <c r="E6" s="187" t="n"/>
      <c r="G6" s="129" t="inlineStr">
        <is>
          <t>Discount percent</t>
        </is>
      </c>
      <c r="H6" s="130" t="n">
        <v>35</v>
      </c>
    </row>
    <row r="7">
      <c r="A7" s="126">
        <f>IF(B7="",0,3)</f>
        <v/>
      </c>
      <c r="B7" s="140">
        <f>List!D240</f>
        <v/>
      </c>
      <c r="C7" s="186" t="n"/>
      <c r="D7" s="186" t="n"/>
      <c r="E7" s="187" t="n"/>
      <c r="G7" s="131" t="inlineStr">
        <is>
          <t>Bruto Price</t>
        </is>
      </c>
      <c r="H7" s="188">
        <f>List!$H$118</f>
        <v/>
      </c>
    </row>
    <row r="8">
      <c r="A8" s="126">
        <f>IF(B8="",0,3)</f>
        <v/>
      </c>
      <c r="B8" s="140">
        <f>List!D241</f>
        <v/>
      </c>
      <c r="C8" s="186" t="n"/>
      <c r="D8" s="186" t="n"/>
      <c r="E8" s="187" t="n"/>
      <c r="G8" s="133" t="inlineStr">
        <is>
          <t>Discount</t>
        </is>
      </c>
      <c r="H8" s="189">
        <f>ROUND(-H7*H6/100,2)</f>
        <v/>
      </c>
    </row>
    <row r="9" ht="15.95" customHeight="1" thickBot="1">
      <c r="A9" s="126">
        <f>IF(B9="",0,3)</f>
        <v/>
      </c>
      <c r="B9" s="140">
        <f>List!D242</f>
        <v/>
      </c>
      <c r="C9" s="186" t="n"/>
      <c r="D9" s="186" t="n"/>
      <c r="E9" s="187" t="n"/>
      <c r="G9" s="135" t="inlineStr">
        <is>
          <t>Netto Price</t>
        </is>
      </c>
      <c r="H9" s="190">
        <f>H7+H8</f>
        <v/>
      </c>
    </row>
    <row r="10">
      <c r="A10" s="126">
        <f>IF(B10="",0,3)</f>
        <v/>
      </c>
      <c r="B10" s="140">
        <f>List!D243</f>
        <v/>
      </c>
      <c r="C10" s="186" t="n"/>
      <c r="D10" s="186" t="n"/>
      <c r="E10" s="187" t="n"/>
      <c r="G10" s="122" t="inlineStr">
        <is>
          <t>Valid from</t>
        </is>
      </c>
      <c r="H10" s="145" t="inlineStr">
        <is>
          <t>28 August 2025</t>
        </is>
      </c>
    </row>
    <row r="11" ht="15.95" customHeight="1" thickBot="1">
      <c r="A11" s="126">
        <f>IF(B11="",0,3)</f>
        <v/>
      </c>
      <c r="B11" s="140">
        <f>List!D244</f>
        <v/>
      </c>
      <c r="C11" s="186" t="n"/>
      <c r="D11" s="186" t="n"/>
      <c r="E11" s="187" t="n"/>
      <c r="G11" s="137" t="inlineStr">
        <is>
          <t>Valid until</t>
        </is>
      </c>
      <c r="H11" s="130" t="inlineStr">
        <is>
          <t>Next version</t>
        </is>
      </c>
    </row>
    <row r="12" ht="15.95" customHeight="1" thickBot="1">
      <c r="A12" s="126">
        <f>IF(B12="",0,3)</f>
        <v/>
      </c>
      <c r="B12" s="140">
        <f>List!D245</f>
        <v/>
      </c>
      <c r="C12" s="186" t="n"/>
      <c r="D12" s="186" t="n"/>
      <c r="E12" s="187" t="n"/>
      <c r="H12" s="2" t="n"/>
    </row>
    <row r="13" ht="15.95" customHeight="1" thickBot="1">
      <c r="A13" s="126" t="n">
        <v>0</v>
      </c>
      <c r="B13" s="140" t="n"/>
      <c r="C13" s="186" t="n"/>
      <c r="D13" s="186" t="n"/>
      <c r="E13" s="187" t="n"/>
      <c r="G13" s="122" t="inlineStr">
        <is>
          <t>Installation time</t>
        </is>
      </c>
      <c r="H13" s="191">
        <f>Calc!D69</f>
        <v/>
      </c>
    </row>
    <row r="14">
      <c r="A14" s="126" t="n">
        <v>0</v>
      </c>
      <c r="B14" s="139" t="inlineStr">
        <is>
          <t>Bill of material</t>
        </is>
      </c>
      <c r="C14" s="192" t="n"/>
      <c r="D14" s="139" t="n"/>
      <c r="E14" s="140" t="n"/>
      <c r="G14" s="193" t="inlineStr">
        <is>
          <t xml:space="preserve">DISCLAIMER: Use with caution. 
</t>
        </is>
      </c>
      <c r="H14" s="35" t="n"/>
    </row>
    <row r="15">
      <c r="A15" s="126">
        <f>IF(B15="",0,2)</f>
        <v/>
      </c>
      <c r="B15" s="139">
        <f>List!C119</f>
        <v/>
      </c>
      <c r="C15" s="139">
        <f>List!D119</f>
        <v/>
      </c>
      <c r="D15" s="139">
        <f>List!E119</f>
        <v/>
      </c>
      <c r="E15" s="140">
        <f>List!F119</f>
        <v/>
      </c>
      <c r="G15" s="194" t="inlineStr">
        <is>
          <t>Installation time is in labor hours, divide by team size for calendar hours, transport and foundations excluded. Actual installation time may vary significantly based on team experience, site conditions and equipment.</t>
        </is>
      </c>
      <c r="H15" s="37" t="n"/>
    </row>
    <row r="16">
      <c r="A16" s="126">
        <f>IF(B16="",0,2)</f>
        <v/>
      </c>
      <c r="B16" s="139">
        <f>List!C120</f>
        <v/>
      </c>
      <c r="C16" s="139">
        <f>List!D120</f>
        <v/>
      </c>
      <c r="D16" s="139">
        <f>List!E120</f>
        <v/>
      </c>
      <c r="E16" s="140">
        <f>List!F120</f>
        <v/>
      </c>
      <c r="G16" s="36" t="n"/>
      <c r="H16" s="37" t="n"/>
    </row>
    <row r="17">
      <c r="A17" s="126">
        <f>IF(B17="",0,2)</f>
        <v/>
      </c>
      <c r="B17" s="139">
        <f>List!C121</f>
        <v/>
      </c>
      <c r="C17" s="139">
        <f>List!D121</f>
        <v/>
      </c>
      <c r="D17" s="139">
        <f>List!E121</f>
        <v/>
      </c>
      <c r="E17" s="140">
        <f>List!F121</f>
        <v/>
      </c>
      <c r="G17" s="36" t="n"/>
      <c r="H17" s="37" t="n"/>
    </row>
    <row r="18">
      <c r="A18" s="126">
        <f>IF(B18="",0,2)</f>
        <v/>
      </c>
      <c r="B18" s="139">
        <f>List!C122</f>
        <v/>
      </c>
      <c r="C18" s="139">
        <f>List!D122</f>
        <v/>
      </c>
      <c r="D18" s="139">
        <f>List!E122</f>
        <v/>
      </c>
      <c r="E18" s="140">
        <f>List!F122</f>
        <v/>
      </c>
      <c r="G18" s="36" t="n"/>
      <c r="H18" s="37" t="n"/>
    </row>
    <row r="19" ht="15.95" customHeight="1" thickBot="1">
      <c r="A19" s="126">
        <f>IF(B19="",0,2)</f>
        <v/>
      </c>
      <c r="B19" s="139">
        <f>List!C123</f>
        <v/>
      </c>
      <c r="C19" s="139">
        <f>List!D123</f>
        <v/>
      </c>
      <c r="D19" s="139">
        <f>List!E123</f>
        <v/>
      </c>
      <c r="E19" s="140">
        <f>List!F123</f>
        <v/>
      </c>
      <c r="G19" s="38" t="n"/>
      <c r="H19" s="40" t="n"/>
    </row>
    <row r="20">
      <c r="A20" s="126">
        <f>IF(B20="",0,2)</f>
        <v/>
      </c>
      <c r="B20" s="139">
        <f>List!C124</f>
        <v/>
      </c>
      <c r="C20" s="139">
        <f>List!D124</f>
        <v/>
      </c>
      <c r="D20" s="139">
        <f>List!E124</f>
        <v/>
      </c>
      <c r="E20" s="140">
        <f>List!F124</f>
        <v/>
      </c>
    </row>
    <row r="21">
      <c r="A21" s="126">
        <f>IF(B21="",0,2)</f>
        <v/>
      </c>
      <c r="B21" s="139">
        <f>List!C125</f>
        <v/>
      </c>
      <c r="C21" s="139">
        <f>List!D125</f>
        <v/>
      </c>
      <c r="D21" s="139">
        <f>List!E125</f>
        <v/>
      </c>
      <c r="E21" s="140">
        <f>List!F125</f>
        <v/>
      </c>
    </row>
    <row r="22">
      <c r="A22" s="126">
        <f>IF(B22="",0,2)</f>
        <v/>
      </c>
      <c r="B22" s="139">
        <f>List!C126</f>
        <v/>
      </c>
      <c r="C22" s="139">
        <f>List!D126</f>
        <v/>
      </c>
      <c r="D22" s="139">
        <f>List!E126</f>
        <v/>
      </c>
      <c r="E22" s="140">
        <f>List!F126</f>
        <v/>
      </c>
    </row>
    <row r="23">
      <c r="A23" s="126">
        <f>IF(B23="",0,2)</f>
        <v/>
      </c>
      <c r="B23" s="139">
        <f>List!C127</f>
        <v/>
      </c>
      <c r="C23" s="139">
        <f>List!D127</f>
        <v/>
      </c>
      <c r="D23" s="139">
        <f>List!E127</f>
        <v/>
      </c>
      <c r="E23" s="140">
        <f>List!F127</f>
        <v/>
      </c>
    </row>
    <row r="24">
      <c r="A24" s="126">
        <f>IF(B24="",0,2)</f>
        <v/>
      </c>
      <c r="B24" s="139">
        <f>List!C128</f>
        <v/>
      </c>
      <c r="C24" s="139">
        <f>List!D128</f>
        <v/>
      </c>
      <c r="D24" s="139">
        <f>List!E128</f>
        <v/>
      </c>
      <c r="E24" s="140">
        <f>List!F128</f>
        <v/>
      </c>
    </row>
    <row r="25">
      <c r="A25" s="126">
        <f>IF(B25="",0,2)</f>
        <v/>
      </c>
      <c r="B25" s="139">
        <f>List!C129</f>
        <v/>
      </c>
      <c r="C25" s="139">
        <f>List!D129</f>
        <v/>
      </c>
      <c r="D25" s="139">
        <f>List!E129</f>
        <v/>
      </c>
      <c r="E25" s="140">
        <f>List!F129</f>
        <v/>
      </c>
    </row>
    <row r="26">
      <c r="A26" s="126">
        <f>IF(B26="",0,2)</f>
        <v/>
      </c>
      <c r="B26" s="139">
        <f>List!C130</f>
        <v/>
      </c>
      <c r="C26" s="139">
        <f>List!D130</f>
        <v/>
      </c>
      <c r="D26" s="139">
        <f>List!E130</f>
        <v/>
      </c>
      <c r="E26" s="140">
        <f>List!F130</f>
        <v/>
      </c>
    </row>
    <row r="27">
      <c r="A27" s="126">
        <f>IF(B27="",0,2)</f>
        <v/>
      </c>
      <c r="B27" s="139">
        <f>List!C131</f>
        <v/>
      </c>
      <c r="C27" s="139">
        <f>List!D131</f>
        <v/>
      </c>
      <c r="D27" s="139">
        <f>List!E131</f>
        <v/>
      </c>
      <c r="E27" s="140">
        <f>List!F131</f>
        <v/>
      </c>
    </row>
    <row r="28">
      <c r="A28" s="126">
        <f>IF(B28="",0,2)</f>
        <v/>
      </c>
      <c r="B28" s="139">
        <f>List!C132</f>
        <v/>
      </c>
      <c r="C28" s="139">
        <f>List!D132</f>
        <v/>
      </c>
      <c r="D28" s="139">
        <f>List!E132</f>
        <v/>
      </c>
      <c r="E28" s="140">
        <f>List!F132</f>
        <v/>
      </c>
    </row>
    <row r="29">
      <c r="A29" s="126">
        <f>IF(B29="",0,2)</f>
        <v/>
      </c>
      <c r="B29" s="139">
        <f>List!C133</f>
        <v/>
      </c>
      <c r="C29" s="139">
        <f>List!D133</f>
        <v/>
      </c>
      <c r="D29" s="139">
        <f>List!E133</f>
        <v/>
      </c>
      <c r="E29" s="140">
        <f>List!F133</f>
        <v/>
      </c>
    </row>
    <row r="30">
      <c r="A30" s="126">
        <f>IF(B30="",0,2)</f>
        <v/>
      </c>
      <c r="B30" s="139">
        <f>List!C134</f>
        <v/>
      </c>
      <c r="C30" s="139">
        <f>List!D134</f>
        <v/>
      </c>
      <c r="D30" s="139">
        <f>List!E134</f>
        <v/>
      </c>
      <c r="E30" s="140">
        <f>List!F134</f>
        <v/>
      </c>
    </row>
    <row r="31">
      <c r="A31" s="126">
        <f>IF(B31="",0,2)</f>
        <v/>
      </c>
      <c r="B31" s="139">
        <f>List!C135</f>
        <v/>
      </c>
      <c r="C31" s="139">
        <f>List!D135</f>
        <v/>
      </c>
      <c r="D31" s="139">
        <f>List!E135</f>
        <v/>
      </c>
      <c r="E31" s="140">
        <f>List!F135</f>
        <v/>
      </c>
    </row>
    <row r="32">
      <c r="A32" s="126">
        <f>IF(B32="",0,2)</f>
        <v/>
      </c>
      <c r="B32" s="139">
        <f>List!C136</f>
        <v/>
      </c>
      <c r="C32" s="139">
        <f>List!D136</f>
        <v/>
      </c>
      <c r="D32" s="139">
        <f>List!E136</f>
        <v/>
      </c>
      <c r="E32" s="140">
        <f>List!F136</f>
        <v/>
      </c>
    </row>
    <row r="33">
      <c r="A33" s="126">
        <f>IF(B33="",0,2)</f>
        <v/>
      </c>
      <c r="B33" s="139">
        <f>List!C137</f>
        <v/>
      </c>
      <c r="C33" s="139">
        <f>List!D137</f>
        <v/>
      </c>
      <c r="D33" s="139">
        <f>List!E137</f>
        <v/>
      </c>
      <c r="E33" s="140">
        <f>List!F137</f>
        <v/>
      </c>
    </row>
    <row r="34">
      <c r="A34" s="126">
        <f>IF(B34="",0,2)</f>
        <v/>
      </c>
      <c r="B34" s="139">
        <f>List!C138</f>
        <v/>
      </c>
      <c r="C34" s="139">
        <f>List!D138</f>
        <v/>
      </c>
      <c r="D34" s="139">
        <f>List!E138</f>
        <v/>
      </c>
      <c r="E34" s="140">
        <f>List!F138</f>
        <v/>
      </c>
    </row>
    <row r="35">
      <c r="A35" s="126">
        <f>IF(B35="",0,2)</f>
        <v/>
      </c>
      <c r="B35" s="139">
        <f>List!C139</f>
        <v/>
      </c>
      <c r="C35" s="139">
        <f>List!D139</f>
        <v/>
      </c>
      <c r="D35" s="139">
        <f>List!E139</f>
        <v/>
      </c>
      <c r="E35" s="140">
        <f>List!F139</f>
        <v/>
      </c>
    </row>
    <row r="36">
      <c r="A36" s="126">
        <f>IF(B36="",0,2)</f>
        <v/>
      </c>
      <c r="B36" s="139">
        <f>List!C140</f>
        <v/>
      </c>
      <c r="C36" s="139">
        <f>List!D140</f>
        <v/>
      </c>
      <c r="D36" s="139">
        <f>List!E140</f>
        <v/>
      </c>
      <c r="E36" s="140">
        <f>List!F140</f>
        <v/>
      </c>
    </row>
    <row r="37">
      <c r="A37" s="126">
        <f>IF(B37="",0,2)</f>
        <v/>
      </c>
      <c r="B37" s="139">
        <f>List!C141</f>
        <v/>
      </c>
      <c r="C37" s="139">
        <f>List!D141</f>
        <v/>
      </c>
      <c r="D37" s="139">
        <f>List!E141</f>
        <v/>
      </c>
      <c r="E37" s="140">
        <f>List!F141</f>
        <v/>
      </c>
    </row>
    <row r="38">
      <c r="A38" s="126">
        <f>IF(B38="",0,2)</f>
        <v/>
      </c>
      <c r="B38" s="139">
        <f>List!C142</f>
        <v/>
      </c>
      <c r="C38" s="139">
        <f>List!D142</f>
        <v/>
      </c>
      <c r="D38" s="139">
        <f>List!E142</f>
        <v/>
      </c>
      <c r="E38" s="140">
        <f>List!F142</f>
        <v/>
      </c>
    </row>
    <row r="39">
      <c r="A39" s="126">
        <f>IF(B39="",0,2)</f>
        <v/>
      </c>
      <c r="B39" s="139">
        <f>List!C143</f>
        <v/>
      </c>
      <c r="C39" s="139">
        <f>List!D143</f>
        <v/>
      </c>
      <c r="D39" s="139">
        <f>List!E143</f>
        <v/>
      </c>
      <c r="E39" s="140">
        <f>List!F143</f>
        <v/>
      </c>
    </row>
    <row r="40">
      <c r="A40" s="126">
        <f>IF(B40="",0,2)</f>
        <v/>
      </c>
      <c r="B40" s="139">
        <f>List!C144</f>
        <v/>
      </c>
      <c r="C40" s="139">
        <f>List!D144</f>
        <v/>
      </c>
      <c r="D40" s="139">
        <f>List!E144</f>
        <v/>
      </c>
      <c r="E40" s="140">
        <f>List!F144</f>
        <v/>
      </c>
    </row>
    <row r="41">
      <c r="A41" s="126">
        <f>IF(B41="",0,2)</f>
        <v/>
      </c>
      <c r="B41" s="139">
        <f>List!C145</f>
        <v/>
      </c>
      <c r="C41" s="139">
        <f>List!D145</f>
        <v/>
      </c>
      <c r="D41" s="139">
        <f>List!E145</f>
        <v/>
      </c>
      <c r="E41" s="140">
        <f>List!F145</f>
        <v/>
      </c>
    </row>
    <row r="42" ht="15" customHeight="1">
      <c r="A42" s="126">
        <f>IF(B42="",0,2)</f>
        <v/>
      </c>
      <c r="B42" s="139">
        <f>List!C146</f>
        <v/>
      </c>
      <c r="C42" s="139">
        <f>List!D146</f>
        <v/>
      </c>
      <c r="D42" s="139">
        <f>List!E146</f>
        <v/>
      </c>
      <c r="E42" s="140">
        <f>List!F146</f>
        <v/>
      </c>
    </row>
    <row r="43" ht="15" customHeight="1">
      <c r="A43" s="126">
        <f>IF(B43="",0,2)</f>
        <v/>
      </c>
      <c r="B43" s="139">
        <f>List!C147</f>
        <v/>
      </c>
      <c r="C43" s="139">
        <f>List!D147</f>
        <v/>
      </c>
      <c r="D43" s="139">
        <f>List!E147</f>
        <v/>
      </c>
      <c r="E43" s="140">
        <f>List!F147</f>
        <v/>
      </c>
    </row>
    <row r="44">
      <c r="A44" s="126">
        <f>IF(B44="",0,2)</f>
        <v/>
      </c>
      <c r="B44" s="139">
        <f>List!C148</f>
        <v/>
      </c>
      <c r="C44" s="139">
        <f>List!D148</f>
        <v/>
      </c>
      <c r="D44" s="139">
        <f>List!E148</f>
        <v/>
      </c>
      <c r="E44" s="140">
        <f>List!F148</f>
        <v/>
      </c>
    </row>
    <row r="45">
      <c r="A45" s="126">
        <f>IF(B45="",0,2)</f>
        <v/>
      </c>
      <c r="B45" s="139">
        <f>List!C149</f>
        <v/>
      </c>
      <c r="C45" s="139">
        <f>List!D149</f>
        <v/>
      </c>
      <c r="D45" s="139">
        <f>List!E149</f>
        <v/>
      </c>
      <c r="E45" s="140">
        <f>List!F149</f>
        <v/>
      </c>
    </row>
    <row r="46">
      <c r="A46" s="126">
        <f>IF(B46="",0,2)</f>
        <v/>
      </c>
      <c r="B46" s="139">
        <f>List!C150</f>
        <v/>
      </c>
      <c r="C46" s="139">
        <f>List!D150</f>
        <v/>
      </c>
      <c r="D46" s="139">
        <f>List!E150</f>
        <v/>
      </c>
      <c r="E46" s="140">
        <f>List!F150</f>
        <v/>
      </c>
    </row>
    <row r="47">
      <c r="A47" s="126">
        <f>IF(B47="",0,2)</f>
        <v/>
      </c>
      <c r="B47" s="139">
        <f>List!C151</f>
        <v/>
      </c>
      <c r="C47" s="139">
        <f>List!D151</f>
        <v/>
      </c>
      <c r="D47" s="139">
        <f>List!E151</f>
        <v/>
      </c>
      <c r="E47" s="140">
        <f>List!F151</f>
        <v/>
      </c>
    </row>
    <row r="48" ht="15" customHeight="1">
      <c r="A48" s="126">
        <f>IF(B48="",0,2)</f>
        <v/>
      </c>
      <c r="B48" s="139">
        <f>List!C152</f>
        <v/>
      </c>
      <c r="C48" s="139">
        <f>List!D152</f>
        <v/>
      </c>
      <c r="D48" s="139">
        <f>List!E152</f>
        <v/>
      </c>
      <c r="E48" s="140">
        <f>List!F152</f>
        <v/>
      </c>
    </row>
    <row r="49">
      <c r="A49" s="126">
        <f>IF(B49="",0,2)</f>
        <v/>
      </c>
      <c r="B49" s="139">
        <f>List!C153</f>
        <v/>
      </c>
      <c r="C49" s="139">
        <f>List!D153</f>
        <v/>
      </c>
      <c r="D49" s="139">
        <f>List!E153</f>
        <v/>
      </c>
      <c r="E49" s="140">
        <f>List!F153</f>
        <v/>
      </c>
    </row>
    <row r="50">
      <c r="A50" s="126">
        <f>IF(B50="",0,2)</f>
        <v/>
      </c>
      <c r="B50" s="139">
        <f>List!C154</f>
        <v/>
      </c>
      <c r="C50" s="139">
        <f>List!D154</f>
        <v/>
      </c>
      <c r="D50" s="139">
        <f>List!E154</f>
        <v/>
      </c>
      <c r="E50" s="140">
        <f>List!F154</f>
        <v/>
      </c>
    </row>
    <row r="51">
      <c r="A51" s="126">
        <f>IF(B51="",0,2)</f>
        <v/>
      </c>
      <c r="B51" s="139">
        <f>List!C155</f>
        <v/>
      </c>
      <c r="C51" s="139">
        <f>List!D155</f>
        <v/>
      </c>
      <c r="D51" s="139">
        <f>List!E155</f>
        <v/>
      </c>
      <c r="E51" s="140">
        <f>List!F155</f>
        <v/>
      </c>
    </row>
    <row r="52">
      <c r="A52" s="126">
        <f>IF(B52="",0,2)</f>
        <v/>
      </c>
      <c r="B52" s="139">
        <f>List!C156</f>
        <v/>
      </c>
      <c r="C52" s="139">
        <f>List!D156</f>
        <v/>
      </c>
      <c r="D52" s="139">
        <f>List!E156</f>
        <v/>
      </c>
      <c r="E52" s="140">
        <f>List!F156</f>
        <v/>
      </c>
    </row>
    <row r="53">
      <c r="A53" s="126">
        <f>IF(B53="",0,2)</f>
        <v/>
      </c>
      <c r="B53" s="139">
        <f>List!C157</f>
        <v/>
      </c>
      <c r="C53" s="139">
        <f>List!D157</f>
        <v/>
      </c>
      <c r="D53" s="139">
        <f>List!E157</f>
        <v/>
      </c>
      <c r="E53" s="140">
        <f>List!F157</f>
        <v/>
      </c>
    </row>
    <row r="54">
      <c r="A54" s="126">
        <f>IF(B54="",0,2)</f>
        <v/>
      </c>
      <c r="B54" s="139">
        <f>List!C158</f>
        <v/>
      </c>
      <c r="C54" s="139">
        <f>List!D158</f>
        <v/>
      </c>
      <c r="D54" s="139">
        <f>List!E158</f>
        <v/>
      </c>
      <c r="E54" s="140">
        <f>List!F158</f>
        <v/>
      </c>
    </row>
    <row r="55">
      <c r="A55" s="126">
        <f>IF(B55="",0,2)</f>
        <v/>
      </c>
      <c r="B55" s="139">
        <f>List!C159</f>
        <v/>
      </c>
      <c r="C55" s="139">
        <f>List!D159</f>
        <v/>
      </c>
      <c r="D55" s="139">
        <f>List!E159</f>
        <v/>
      </c>
      <c r="E55" s="140">
        <f>List!F159</f>
        <v/>
      </c>
    </row>
    <row r="56">
      <c r="A56" s="126">
        <f>IF(B56="",0,2)</f>
        <v/>
      </c>
      <c r="B56" s="139">
        <f>List!C160</f>
        <v/>
      </c>
      <c r="C56" s="139">
        <f>List!D160</f>
        <v/>
      </c>
      <c r="D56" s="139">
        <f>List!E160</f>
        <v/>
      </c>
      <c r="E56" s="140">
        <f>List!F160</f>
        <v/>
      </c>
    </row>
    <row r="57">
      <c r="A57" s="126">
        <f>IF(B57="",0,2)</f>
        <v/>
      </c>
      <c r="B57" s="139">
        <f>List!C161</f>
        <v/>
      </c>
      <c r="C57" s="139">
        <f>List!D161</f>
        <v/>
      </c>
      <c r="D57" s="139">
        <f>List!E161</f>
        <v/>
      </c>
      <c r="E57" s="140">
        <f>List!F161</f>
        <v/>
      </c>
    </row>
    <row r="58">
      <c r="A58" s="126">
        <f>IF(B58="",0,2)</f>
        <v/>
      </c>
      <c r="B58" s="139">
        <f>List!C162</f>
        <v/>
      </c>
      <c r="C58" s="139">
        <f>List!D162</f>
        <v/>
      </c>
      <c r="D58" s="139">
        <f>List!E162</f>
        <v/>
      </c>
      <c r="E58" s="140">
        <f>List!F162</f>
        <v/>
      </c>
    </row>
    <row r="59">
      <c r="A59" s="126">
        <f>IF(B59="",0,2)</f>
        <v/>
      </c>
      <c r="B59" s="139">
        <f>List!C163</f>
        <v/>
      </c>
      <c r="C59" s="139">
        <f>List!D163</f>
        <v/>
      </c>
      <c r="D59" s="139">
        <f>List!E163</f>
        <v/>
      </c>
      <c r="E59" s="140">
        <f>List!F163</f>
        <v/>
      </c>
    </row>
    <row r="60">
      <c r="A60" s="126">
        <f>IF(B60="",0,2)</f>
        <v/>
      </c>
      <c r="B60" s="139">
        <f>List!C164</f>
        <v/>
      </c>
      <c r="C60" s="139">
        <f>List!D164</f>
        <v/>
      </c>
      <c r="D60" s="139">
        <f>List!E164</f>
        <v/>
      </c>
      <c r="E60" s="140">
        <f>List!F164</f>
        <v/>
      </c>
    </row>
    <row r="61">
      <c r="A61" s="126">
        <f>IF(B61="",0,2)</f>
        <v/>
      </c>
      <c r="B61" s="139">
        <f>List!C165</f>
        <v/>
      </c>
      <c r="C61" s="139">
        <f>List!D165</f>
        <v/>
      </c>
      <c r="D61" s="139">
        <f>List!E165</f>
        <v/>
      </c>
      <c r="E61" s="140">
        <f>List!F165</f>
        <v/>
      </c>
    </row>
    <row r="62">
      <c r="A62" s="126">
        <f>IF(B62="",0,2)</f>
        <v/>
      </c>
      <c r="B62" s="139">
        <f>List!C166</f>
        <v/>
      </c>
      <c r="C62" s="139">
        <f>List!D166</f>
        <v/>
      </c>
      <c r="D62" s="139">
        <f>List!E166</f>
        <v/>
      </c>
      <c r="E62" s="140">
        <f>List!F166</f>
        <v/>
      </c>
    </row>
    <row r="63">
      <c r="A63" s="126">
        <f>IF(B63="",0,2)</f>
        <v/>
      </c>
      <c r="B63" s="139">
        <f>List!C167</f>
        <v/>
      </c>
      <c r="C63" s="139">
        <f>List!D167</f>
        <v/>
      </c>
      <c r="D63" s="139">
        <f>List!E167</f>
        <v/>
      </c>
      <c r="E63" s="140">
        <f>List!F167</f>
        <v/>
      </c>
    </row>
    <row r="64">
      <c r="A64" s="126">
        <f>IF(B64="",0,2)</f>
        <v/>
      </c>
      <c r="B64" s="139">
        <f>List!C168</f>
        <v/>
      </c>
      <c r="C64" s="139">
        <f>List!D168</f>
        <v/>
      </c>
      <c r="D64" s="139">
        <f>List!E168</f>
        <v/>
      </c>
      <c r="E64" s="140">
        <f>List!F168</f>
        <v/>
      </c>
    </row>
    <row r="65">
      <c r="A65" s="126">
        <f>IF(B65="",0,2)</f>
        <v/>
      </c>
      <c r="B65" s="139">
        <f>List!C169</f>
        <v/>
      </c>
      <c r="C65" s="139">
        <f>List!D169</f>
        <v/>
      </c>
      <c r="D65" s="139">
        <f>List!E169</f>
        <v/>
      </c>
      <c r="E65" s="140">
        <f>List!F169</f>
        <v/>
      </c>
    </row>
    <row r="66">
      <c r="A66" s="126">
        <f>IF(B66="",0,2)</f>
        <v/>
      </c>
      <c r="B66" s="139">
        <f>List!C170</f>
        <v/>
      </c>
      <c r="C66" s="139">
        <f>List!D170</f>
        <v/>
      </c>
      <c r="D66" s="139">
        <f>List!E170</f>
        <v/>
      </c>
      <c r="E66" s="140">
        <f>List!F170</f>
        <v/>
      </c>
    </row>
    <row r="67">
      <c r="A67" s="126">
        <f>IF(B67="",0,2)</f>
        <v/>
      </c>
      <c r="B67" s="139">
        <f>List!C171</f>
        <v/>
      </c>
      <c r="C67" s="139">
        <f>List!D171</f>
        <v/>
      </c>
      <c r="D67" s="139">
        <f>List!E171</f>
        <v/>
      </c>
      <c r="E67" s="140">
        <f>List!F171</f>
        <v/>
      </c>
    </row>
    <row r="68">
      <c r="A68" s="126">
        <f>IF(B68="",0,2)</f>
        <v/>
      </c>
      <c r="B68" s="139">
        <f>List!C172</f>
        <v/>
      </c>
      <c r="C68" s="139">
        <f>List!D172</f>
        <v/>
      </c>
      <c r="D68" s="139">
        <f>List!E172</f>
        <v/>
      </c>
      <c r="E68" s="140">
        <f>List!F172</f>
        <v/>
      </c>
    </row>
    <row r="69">
      <c r="A69" s="126">
        <f>IF(B69="",0,2)</f>
        <v/>
      </c>
      <c r="B69" s="139">
        <f>List!C173</f>
        <v/>
      </c>
      <c r="C69" s="139">
        <f>List!D173</f>
        <v/>
      </c>
      <c r="D69" s="139">
        <f>List!E173</f>
        <v/>
      </c>
      <c r="E69" s="140">
        <f>List!F173</f>
        <v/>
      </c>
    </row>
    <row r="70">
      <c r="A70" s="126">
        <f>IF(B70="",0,2)</f>
        <v/>
      </c>
      <c r="B70" s="139">
        <f>List!C174</f>
        <v/>
      </c>
      <c r="C70" s="139">
        <f>List!D174</f>
        <v/>
      </c>
      <c r="D70" s="139">
        <f>List!E174</f>
        <v/>
      </c>
      <c r="E70" s="140">
        <f>List!F174</f>
        <v/>
      </c>
    </row>
    <row r="71">
      <c r="A71" s="126">
        <f>IF(B71="",0,2)</f>
        <v/>
      </c>
      <c r="B71" s="139">
        <f>List!C175</f>
        <v/>
      </c>
      <c r="C71" s="139">
        <f>List!D175</f>
        <v/>
      </c>
      <c r="D71" s="139">
        <f>List!E175</f>
        <v/>
      </c>
      <c r="E71" s="140">
        <f>List!F175</f>
        <v/>
      </c>
    </row>
    <row r="72">
      <c r="A72" s="126">
        <f>IF(B72="",0,2)</f>
        <v/>
      </c>
      <c r="B72" s="139">
        <f>List!C176</f>
        <v/>
      </c>
      <c r="C72" s="139">
        <f>List!D176</f>
        <v/>
      </c>
      <c r="D72" s="139">
        <f>List!E176</f>
        <v/>
      </c>
      <c r="E72" s="140">
        <f>List!F176</f>
        <v/>
      </c>
    </row>
    <row r="73">
      <c r="A73" s="126">
        <f>IF(B73="",0,2)</f>
        <v/>
      </c>
      <c r="B73" s="139">
        <f>List!C177</f>
        <v/>
      </c>
      <c r="C73" s="139">
        <f>List!D177</f>
        <v/>
      </c>
      <c r="D73" s="139">
        <f>List!E177</f>
        <v/>
      </c>
      <c r="E73" s="140">
        <f>List!F177</f>
        <v/>
      </c>
    </row>
    <row r="74">
      <c r="A74" s="126">
        <f>IF(B74="",0,2)</f>
        <v/>
      </c>
      <c r="B74" s="139">
        <f>List!C178</f>
        <v/>
      </c>
      <c r="C74" s="139">
        <f>List!D178</f>
        <v/>
      </c>
      <c r="D74" s="139">
        <f>List!E178</f>
        <v/>
      </c>
      <c r="E74" s="140">
        <f>List!F178</f>
        <v/>
      </c>
    </row>
    <row r="75">
      <c r="A75" s="126">
        <f>IF(B75="",0,2)</f>
        <v/>
      </c>
      <c r="B75" s="139">
        <f>List!C179</f>
        <v/>
      </c>
      <c r="C75" s="139">
        <f>List!D179</f>
        <v/>
      </c>
      <c r="D75" s="139">
        <f>List!E179</f>
        <v/>
      </c>
      <c r="E75" s="140">
        <f>List!F179</f>
        <v/>
      </c>
    </row>
    <row r="76">
      <c r="A76" s="126">
        <f>IF(B76="",0,2)</f>
        <v/>
      </c>
      <c r="B76" s="139">
        <f>List!C180</f>
        <v/>
      </c>
      <c r="C76" s="139">
        <f>List!D180</f>
        <v/>
      </c>
      <c r="D76" s="139">
        <f>List!E180</f>
        <v/>
      </c>
      <c r="E76" s="140">
        <f>List!F180</f>
        <v/>
      </c>
    </row>
    <row r="77">
      <c r="A77" s="126">
        <f>IF(B77="",0,2)</f>
        <v/>
      </c>
      <c r="B77" s="139">
        <f>List!C181</f>
        <v/>
      </c>
      <c r="C77" s="139">
        <f>List!D181</f>
        <v/>
      </c>
      <c r="D77" s="139">
        <f>List!E181</f>
        <v/>
      </c>
      <c r="E77" s="140">
        <f>List!F181</f>
        <v/>
      </c>
    </row>
    <row r="78">
      <c r="A78" s="126">
        <f>IF(B78="",0,2)</f>
        <v/>
      </c>
      <c r="B78" s="139">
        <f>List!C182</f>
        <v/>
      </c>
      <c r="C78" s="139">
        <f>List!D182</f>
        <v/>
      </c>
      <c r="D78" s="139">
        <f>List!E182</f>
        <v/>
      </c>
      <c r="E78" s="140">
        <f>List!F182</f>
        <v/>
      </c>
    </row>
    <row r="79">
      <c r="A79" s="126">
        <f>IF(B79="",0,2)</f>
        <v/>
      </c>
      <c r="B79" s="139">
        <f>List!C183</f>
        <v/>
      </c>
      <c r="C79" s="139">
        <f>List!D183</f>
        <v/>
      </c>
      <c r="D79" s="139">
        <f>List!E183</f>
        <v/>
      </c>
      <c r="E79" s="140">
        <f>List!F183</f>
        <v/>
      </c>
    </row>
    <row r="80">
      <c r="A80" s="126">
        <f>IF(B80="",0,2)</f>
        <v/>
      </c>
      <c r="B80" s="139">
        <f>List!C184</f>
        <v/>
      </c>
      <c r="C80" s="139">
        <f>List!D184</f>
        <v/>
      </c>
      <c r="D80" s="139">
        <f>List!E184</f>
        <v/>
      </c>
      <c r="E80" s="140">
        <f>List!F184</f>
        <v/>
      </c>
    </row>
    <row r="81">
      <c r="A81" s="126">
        <f>IF(B81="",0,2)</f>
        <v/>
      </c>
      <c r="B81" s="139">
        <f>List!C185</f>
        <v/>
      </c>
      <c r="C81" s="139">
        <f>List!D185</f>
        <v/>
      </c>
      <c r="D81" s="139">
        <f>List!E185</f>
        <v/>
      </c>
      <c r="E81" s="140">
        <f>List!F185</f>
        <v/>
      </c>
    </row>
    <row r="82">
      <c r="A82" s="126">
        <f>IF(B82="",0,2)</f>
        <v/>
      </c>
      <c r="B82" s="139">
        <f>List!C186</f>
        <v/>
      </c>
      <c r="C82" s="139">
        <f>List!D186</f>
        <v/>
      </c>
      <c r="D82" s="139">
        <f>List!E186</f>
        <v/>
      </c>
      <c r="E82" s="140">
        <f>List!F186</f>
        <v/>
      </c>
    </row>
    <row r="83">
      <c r="A83" s="126">
        <f>IF(B83="",0,2)</f>
        <v/>
      </c>
      <c r="B83" s="139">
        <f>List!C187</f>
        <v/>
      </c>
      <c r="C83" s="139">
        <f>List!D187</f>
        <v/>
      </c>
      <c r="D83" s="139">
        <f>List!E187</f>
        <v/>
      </c>
      <c r="E83" s="140">
        <f>List!F187</f>
        <v/>
      </c>
    </row>
    <row r="84">
      <c r="A84" s="126">
        <f>IF(B84="",0,2)</f>
        <v/>
      </c>
      <c r="B84" s="139">
        <f>List!C188</f>
        <v/>
      </c>
      <c r="C84" s="139">
        <f>List!D188</f>
        <v/>
      </c>
      <c r="D84" s="139">
        <f>List!E188</f>
        <v/>
      </c>
      <c r="E84" s="140">
        <f>List!F188</f>
        <v/>
      </c>
    </row>
    <row r="85">
      <c r="A85" s="126">
        <f>IF(B85="",0,2)</f>
        <v/>
      </c>
      <c r="B85" s="139">
        <f>List!C189</f>
        <v/>
      </c>
      <c r="C85" s="139">
        <f>List!D189</f>
        <v/>
      </c>
      <c r="D85" s="139">
        <f>List!E189</f>
        <v/>
      </c>
      <c r="E85" s="140">
        <f>List!F189</f>
        <v/>
      </c>
    </row>
    <row r="86">
      <c r="A86" s="126">
        <f>IF(B86="",0,2)</f>
        <v/>
      </c>
      <c r="B86" s="139">
        <f>List!C190</f>
        <v/>
      </c>
      <c r="C86" s="139">
        <f>List!D190</f>
        <v/>
      </c>
      <c r="D86" s="139">
        <f>List!E190</f>
        <v/>
      </c>
      <c r="E86" s="140">
        <f>List!F190</f>
        <v/>
      </c>
    </row>
    <row r="87">
      <c r="A87" s="126">
        <f>IF(B87="",0,2)</f>
        <v/>
      </c>
      <c r="B87" s="139">
        <f>List!C191</f>
        <v/>
      </c>
      <c r="C87" s="139">
        <f>List!D191</f>
        <v/>
      </c>
      <c r="D87" s="139">
        <f>List!E191</f>
        <v/>
      </c>
      <c r="E87" s="140">
        <f>List!F191</f>
        <v/>
      </c>
    </row>
    <row r="88">
      <c r="A88" s="126">
        <f>IF(B88="",0,2)</f>
        <v/>
      </c>
      <c r="B88" s="139">
        <f>List!C192</f>
        <v/>
      </c>
      <c r="C88" s="139">
        <f>List!D192</f>
        <v/>
      </c>
      <c r="D88" s="139">
        <f>List!E192</f>
        <v/>
      </c>
      <c r="E88" s="140">
        <f>List!F192</f>
        <v/>
      </c>
    </row>
    <row r="89">
      <c r="A89" s="126">
        <f>IF(B89="",0,2)</f>
        <v/>
      </c>
      <c r="B89" s="139">
        <f>List!C193</f>
        <v/>
      </c>
      <c r="C89" s="139">
        <f>List!D193</f>
        <v/>
      </c>
      <c r="D89" s="139">
        <f>List!E193</f>
        <v/>
      </c>
      <c r="E89" s="140">
        <f>List!F193</f>
        <v/>
      </c>
    </row>
    <row r="90">
      <c r="A90" s="126">
        <f>IF(B90="",0,2)</f>
        <v/>
      </c>
      <c r="B90" s="139">
        <f>List!C194</f>
        <v/>
      </c>
      <c r="C90" s="139">
        <f>List!D194</f>
        <v/>
      </c>
      <c r="D90" s="139">
        <f>List!E194</f>
        <v/>
      </c>
      <c r="E90" s="140">
        <f>List!F194</f>
        <v/>
      </c>
    </row>
    <row r="91">
      <c r="A91" s="126">
        <f>IF(B91="",0,2)</f>
        <v/>
      </c>
      <c r="B91" s="139">
        <f>List!C195</f>
        <v/>
      </c>
      <c r="C91" s="139">
        <f>List!D195</f>
        <v/>
      </c>
      <c r="D91" s="139">
        <f>List!E195</f>
        <v/>
      </c>
      <c r="E91" s="140">
        <f>List!F195</f>
        <v/>
      </c>
    </row>
    <row r="92">
      <c r="A92" s="126">
        <f>IF(B92="",0,2)</f>
        <v/>
      </c>
      <c r="B92" s="139">
        <f>List!C196</f>
        <v/>
      </c>
      <c r="C92" s="139">
        <f>List!D196</f>
        <v/>
      </c>
      <c r="D92" s="139">
        <f>List!E196</f>
        <v/>
      </c>
      <c r="E92" s="140">
        <f>List!F196</f>
        <v/>
      </c>
    </row>
    <row r="93">
      <c r="A93" s="126">
        <f>IF(B93="",0,2)</f>
        <v/>
      </c>
      <c r="B93" s="139">
        <f>List!C197</f>
        <v/>
      </c>
      <c r="C93" s="139">
        <f>List!D197</f>
        <v/>
      </c>
      <c r="D93" s="139">
        <f>List!E197</f>
        <v/>
      </c>
      <c r="E93" s="140">
        <f>List!F197</f>
        <v/>
      </c>
    </row>
    <row r="94">
      <c r="A94" s="126">
        <f>IF(B94="",0,2)</f>
        <v/>
      </c>
      <c r="B94" s="139">
        <f>List!C198</f>
        <v/>
      </c>
      <c r="C94" s="139">
        <f>List!D198</f>
        <v/>
      </c>
      <c r="D94" s="139">
        <f>List!E198</f>
        <v/>
      </c>
      <c r="E94" s="140">
        <f>List!F198</f>
        <v/>
      </c>
    </row>
    <row r="95">
      <c r="A95" s="126">
        <f>IF(B95="",0,2)</f>
        <v/>
      </c>
      <c r="B95" s="139">
        <f>List!C199</f>
        <v/>
      </c>
      <c r="C95" s="139">
        <f>List!D199</f>
        <v/>
      </c>
      <c r="D95" s="139">
        <f>List!E199</f>
        <v/>
      </c>
      <c r="E95" s="140">
        <f>List!F199</f>
        <v/>
      </c>
    </row>
    <row r="96">
      <c r="A96" s="126">
        <f>IF(B96="",0,2)</f>
        <v/>
      </c>
      <c r="B96" s="139">
        <f>List!C200</f>
        <v/>
      </c>
      <c r="C96" s="139">
        <f>List!D200</f>
        <v/>
      </c>
      <c r="D96" s="139">
        <f>List!E200</f>
        <v/>
      </c>
      <c r="E96" s="140">
        <f>List!F200</f>
        <v/>
      </c>
    </row>
    <row r="97">
      <c r="A97" s="126">
        <f>IF(B97="",0,2)</f>
        <v/>
      </c>
      <c r="B97" s="139">
        <f>List!C201</f>
        <v/>
      </c>
      <c r="C97" s="139">
        <f>List!D201</f>
        <v/>
      </c>
      <c r="D97" s="139">
        <f>List!E201</f>
        <v/>
      </c>
      <c r="E97" s="140">
        <f>List!F201</f>
        <v/>
      </c>
    </row>
    <row r="98">
      <c r="A98" s="126">
        <f>IF(B98="",0,2)</f>
        <v/>
      </c>
      <c r="B98" s="139">
        <f>List!C202</f>
        <v/>
      </c>
      <c r="C98" s="139">
        <f>List!D202</f>
        <v/>
      </c>
      <c r="D98" s="139">
        <f>List!E202</f>
        <v/>
      </c>
      <c r="E98" s="140">
        <f>List!F202</f>
        <v/>
      </c>
    </row>
    <row r="99">
      <c r="A99" s="126">
        <f>IF(B99="",0,2)</f>
        <v/>
      </c>
      <c r="B99" s="139">
        <f>List!C203</f>
        <v/>
      </c>
      <c r="C99" s="139">
        <f>List!D203</f>
        <v/>
      </c>
      <c r="D99" s="139">
        <f>List!E203</f>
        <v/>
      </c>
      <c r="E99" s="140">
        <f>List!F203</f>
        <v/>
      </c>
    </row>
    <row r="100">
      <c r="A100" s="126">
        <f>IF(B100="",0,2)</f>
        <v/>
      </c>
      <c r="B100" s="139">
        <f>List!C204</f>
        <v/>
      </c>
      <c r="C100" s="139">
        <f>List!D204</f>
        <v/>
      </c>
      <c r="D100" s="139">
        <f>List!E204</f>
        <v/>
      </c>
      <c r="E100" s="140">
        <f>List!F204</f>
        <v/>
      </c>
    </row>
    <row r="101">
      <c r="A101" s="126">
        <f>IF(B101="",0,2)</f>
        <v/>
      </c>
      <c r="B101" s="139">
        <f>List!C205</f>
        <v/>
      </c>
      <c r="C101" s="139">
        <f>List!D205</f>
        <v/>
      </c>
      <c r="D101" s="139">
        <f>List!E205</f>
        <v/>
      </c>
      <c r="E101" s="140">
        <f>List!F205</f>
        <v/>
      </c>
    </row>
    <row r="102">
      <c r="A102" s="126">
        <f>IF(B102="",0,2)</f>
        <v/>
      </c>
      <c r="B102" s="139">
        <f>List!C206</f>
        <v/>
      </c>
      <c r="C102" s="139">
        <f>List!D206</f>
        <v/>
      </c>
      <c r="D102" s="139">
        <f>List!E206</f>
        <v/>
      </c>
      <c r="E102" s="140">
        <f>List!F206</f>
        <v/>
      </c>
    </row>
    <row r="103">
      <c r="A103" s="126">
        <f>IF(B103="",0,2)</f>
        <v/>
      </c>
      <c r="B103" s="139">
        <f>List!C207</f>
        <v/>
      </c>
      <c r="C103" s="139">
        <f>List!D207</f>
        <v/>
      </c>
      <c r="D103" s="139">
        <f>List!E207</f>
        <v/>
      </c>
      <c r="E103" s="140">
        <f>List!F207</f>
        <v/>
      </c>
    </row>
    <row r="104">
      <c r="A104" s="126">
        <f>IF(B104="",0,2)</f>
        <v/>
      </c>
      <c r="B104" s="139">
        <f>List!C208</f>
        <v/>
      </c>
      <c r="C104" s="139">
        <f>List!D208</f>
        <v/>
      </c>
      <c r="D104" s="139">
        <f>List!E208</f>
        <v/>
      </c>
      <c r="E104" s="140">
        <f>List!F208</f>
        <v/>
      </c>
    </row>
    <row r="105">
      <c r="A105" s="126">
        <f>IF(B105="",0,2)</f>
        <v/>
      </c>
      <c r="B105" s="139">
        <f>List!C209</f>
        <v/>
      </c>
      <c r="C105" s="139">
        <f>List!D209</f>
        <v/>
      </c>
      <c r="D105" s="139">
        <f>List!E209</f>
        <v/>
      </c>
      <c r="E105" s="140">
        <f>List!F209</f>
        <v/>
      </c>
    </row>
    <row r="106">
      <c r="A106" s="126">
        <f>IF(B106="",0,2)</f>
        <v/>
      </c>
      <c r="B106" s="139">
        <f>List!C210</f>
        <v/>
      </c>
      <c r="C106" s="139">
        <f>List!D210</f>
        <v/>
      </c>
      <c r="D106" s="139">
        <f>List!E210</f>
        <v/>
      </c>
      <c r="E106" s="140">
        <f>List!F210</f>
        <v/>
      </c>
    </row>
    <row r="107">
      <c r="A107" s="126">
        <f>IF(B107="",0,2)</f>
        <v/>
      </c>
      <c r="B107" s="139">
        <f>List!C211</f>
        <v/>
      </c>
      <c r="C107" s="139">
        <f>List!D211</f>
        <v/>
      </c>
      <c r="D107" s="139">
        <f>List!E211</f>
        <v/>
      </c>
      <c r="E107" s="140">
        <f>List!F211</f>
        <v/>
      </c>
    </row>
    <row r="108">
      <c r="A108" s="126">
        <f>IF(B108="",0,2)</f>
        <v/>
      </c>
      <c r="B108" s="139">
        <f>List!C212</f>
        <v/>
      </c>
      <c r="C108" s="139">
        <f>List!D212</f>
        <v/>
      </c>
      <c r="D108" s="139">
        <f>List!E212</f>
        <v/>
      </c>
      <c r="E108" s="140">
        <f>List!F212</f>
        <v/>
      </c>
    </row>
    <row r="109">
      <c r="A109" s="126">
        <f>IF(B109="",0,2)</f>
        <v/>
      </c>
      <c r="B109" s="139">
        <f>List!C213</f>
        <v/>
      </c>
      <c r="C109" s="139">
        <f>List!D213</f>
        <v/>
      </c>
      <c r="D109" s="139">
        <f>List!E213</f>
        <v/>
      </c>
      <c r="E109" s="140">
        <f>List!F213</f>
        <v/>
      </c>
    </row>
    <row r="110">
      <c r="A110" s="126">
        <f>IF(B110="",0,2)</f>
        <v/>
      </c>
      <c r="B110" s="139">
        <f>List!C214</f>
        <v/>
      </c>
      <c r="C110" s="139">
        <f>List!D214</f>
        <v/>
      </c>
      <c r="D110" s="139">
        <f>List!E214</f>
        <v/>
      </c>
      <c r="E110" s="140">
        <f>List!F214</f>
        <v/>
      </c>
    </row>
    <row r="111">
      <c r="A111" s="126">
        <f>IF(B111="",0,2)</f>
        <v/>
      </c>
      <c r="B111" s="139">
        <f>List!C215</f>
        <v/>
      </c>
      <c r="C111" s="139">
        <f>List!D215</f>
        <v/>
      </c>
      <c r="D111" s="139">
        <f>List!E215</f>
        <v/>
      </c>
      <c r="E111" s="140">
        <f>List!F215</f>
        <v/>
      </c>
    </row>
    <row r="112">
      <c r="A112" s="126">
        <f>IF(B112="",0,2)</f>
        <v/>
      </c>
      <c r="B112" s="139">
        <f>List!C216</f>
        <v/>
      </c>
      <c r="C112" s="139">
        <f>List!D216</f>
        <v/>
      </c>
      <c r="D112" s="139">
        <f>List!E216</f>
        <v/>
      </c>
      <c r="E112" s="140">
        <f>List!F216</f>
        <v/>
      </c>
    </row>
    <row r="113">
      <c r="A113" s="126">
        <f>IF(B113="",0,2)</f>
        <v/>
      </c>
      <c r="B113" s="139">
        <f>List!C217</f>
        <v/>
      </c>
      <c r="C113" s="139">
        <f>List!D217</f>
        <v/>
      </c>
      <c r="D113" s="139">
        <f>List!E217</f>
        <v/>
      </c>
      <c r="E113" s="140">
        <f>List!F217</f>
        <v/>
      </c>
    </row>
    <row r="114">
      <c r="A114" s="126">
        <f>IF(B114="",0,2)</f>
        <v/>
      </c>
      <c r="B114" s="139">
        <f>List!C218</f>
        <v/>
      </c>
      <c r="C114" s="139">
        <f>List!D218</f>
        <v/>
      </c>
      <c r="D114" s="139">
        <f>List!E218</f>
        <v/>
      </c>
      <c r="E114" s="140">
        <f>List!F218</f>
        <v/>
      </c>
    </row>
    <row r="115">
      <c r="A115" s="126">
        <f>IF(B115="",0,2)</f>
        <v/>
      </c>
      <c r="B115" s="139">
        <f>List!C219</f>
        <v/>
      </c>
      <c r="C115" s="139">
        <f>List!D219</f>
        <v/>
      </c>
      <c r="D115" s="139">
        <f>List!E219</f>
        <v/>
      </c>
      <c r="E115" s="140">
        <f>List!F219</f>
        <v/>
      </c>
    </row>
    <row r="116">
      <c r="A116" s="126">
        <f>IF(B116="",0,2)</f>
        <v/>
      </c>
      <c r="B116" s="139">
        <f>List!C220</f>
        <v/>
      </c>
      <c r="C116" s="139">
        <f>List!D220</f>
        <v/>
      </c>
      <c r="D116" s="139">
        <f>List!E220</f>
        <v/>
      </c>
      <c r="E116" s="140">
        <f>List!F220</f>
        <v/>
      </c>
    </row>
    <row r="117">
      <c r="A117" s="126">
        <f>IF(B117="",0,2)</f>
        <v/>
      </c>
      <c r="B117" s="139">
        <f>List!C221</f>
        <v/>
      </c>
      <c r="C117" s="139">
        <f>List!D221</f>
        <v/>
      </c>
      <c r="D117" s="139">
        <f>List!E221</f>
        <v/>
      </c>
      <c r="E117" s="140">
        <f>List!F221</f>
        <v/>
      </c>
    </row>
    <row r="118">
      <c r="A118" s="126">
        <f>IF(B118="",0,2)</f>
        <v/>
      </c>
      <c r="B118" s="139">
        <f>List!C222</f>
        <v/>
      </c>
      <c r="C118" s="139">
        <f>List!D222</f>
        <v/>
      </c>
      <c r="D118" s="139">
        <f>List!E222</f>
        <v/>
      </c>
      <c r="E118" s="140">
        <f>List!F222</f>
        <v/>
      </c>
    </row>
    <row r="119">
      <c r="A119" s="126">
        <f>IF(B119="",0,2)</f>
        <v/>
      </c>
      <c r="B119" s="139">
        <f>List!C223</f>
        <v/>
      </c>
      <c r="C119" s="139">
        <f>List!D223</f>
        <v/>
      </c>
      <c r="D119" s="139">
        <f>List!E223</f>
        <v/>
      </c>
      <c r="E119" s="140">
        <f>List!F223</f>
        <v/>
      </c>
    </row>
    <row r="120">
      <c r="A120" s="126">
        <f>IF(B120="",0,2)</f>
        <v/>
      </c>
      <c r="B120" s="139">
        <f>List!C224</f>
        <v/>
      </c>
      <c r="C120" s="139">
        <f>List!D224</f>
        <v/>
      </c>
      <c r="D120" s="139">
        <f>List!E224</f>
        <v/>
      </c>
      <c r="E120" s="140">
        <f>List!F224</f>
        <v/>
      </c>
    </row>
    <row r="121">
      <c r="A121" s="126">
        <f>IF(B121="",0,2)</f>
        <v/>
      </c>
      <c r="B121" s="139">
        <f>List!C225</f>
        <v/>
      </c>
      <c r="C121" s="139">
        <f>List!D225</f>
        <v/>
      </c>
      <c r="D121" s="139">
        <f>List!E225</f>
        <v/>
      </c>
      <c r="E121" s="140">
        <f>List!F225</f>
        <v/>
      </c>
    </row>
    <row r="122">
      <c r="A122" s="126">
        <f>IF(B122="",0,2)</f>
        <v/>
      </c>
      <c r="B122" s="139">
        <f>List!C226</f>
        <v/>
      </c>
      <c r="C122" s="139">
        <f>List!D226</f>
        <v/>
      </c>
      <c r="D122" s="139">
        <f>List!E226</f>
        <v/>
      </c>
      <c r="E122" s="140">
        <f>List!F226</f>
        <v/>
      </c>
    </row>
    <row r="123">
      <c r="A123" s="126">
        <f>IF(B123="",0,2)</f>
        <v/>
      </c>
      <c r="B123" s="139">
        <f>List!C227</f>
        <v/>
      </c>
      <c r="C123" s="139">
        <f>List!D227</f>
        <v/>
      </c>
      <c r="D123" s="139">
        <f>List!E227</f>
        <v/>
      </c>
      <c r="E123" s="140">
        <f>List!F227</f>
        <v/>
      </c>
    </row>
    <row r="124">
      <c r="A124" s="126">
        <f>IF(B124="",0,2)</f>
        <v/>
      </c>
      <c r="B124" s="139">
        <f>List!C228</f>
        <v/>
      </c>
      <c r="C124" s="139">
        <f>List!D228</f>
        <v/>
      </c>
      <c r="D124" s="139">
        <f>List!E228</f>
        <v/>
      </c>
      <c r="E124" s="140">
        <f>List!F228</f>
        <v/>
      </c>
    </row>
    <row r="125">
      <c r="A125" s="126">
        <f>IF(B125="",0,2)</f>
        <v/>
      </c>
      <c r="B125" s="139">
        <f>List!C229</f>
        <v/>
      </c>
      <c r="C125" s="139">
        <f>List!D229</f>
        <v/>
      </c>
      <c r="D125" s="139">
        <f>List!E229</f>
        <v/>
      </c>
      <c r="E125" s="140">
        <f>List!F229</f>
        <v/>
      </c>
    </row>
    <row r="126">
      <c r="A126" s="126">
        <f>IF(B126="",0,2)</f>
        <v/>
      </c>
      <c r="B126" s="139">
        <f>List!C230</f>
        <v/>
      </c>
      <c r="C126" s="139">
        <f>List!D230</f>
        <v/>
      </c>
      <c r="D126" s="139">
        <f>List!E230</f>
        <v/>
      </c>
      <c r="E126" s="140">
        <f>List!F230</f>
        <v/>
      </c>
    </row>
    <row r="127">
      <c r="A127" s="126">
        <f>IF(B127="",0,2)</f>
        <v/>
      </c>
      <c r="B127" s="139">
        <f>List!C231</f>
        <v/>
      </c>
      <c r="C127" s="139">
        <f>List!D231</f>
        <v/>
      </c>
      <c r="D127" s="139">
        <f>List!E231</f>
        <v/>
      </c>
      <c r="E127" s="140">
        <f>List!F231</f>
        <v/>
      </c>
    </row>
    <row r="128">
      <c r="A128" s="126">
        <f>IF(B128="",0,2)</f>
        <v/>
      </c>
      <c r="B128" s="139">
        <f>List!C232</f>
        <v/>
      </c>
      <c r="C128" s="139">
        <f>List!D232</f>
        <v/>
      </c>
      <c r="D128" s="139">
        <f>List!E232</f>
        <v/>
      </c>
      <c r="E128" s="140">
        <f>List!F232</f>
        <v/>
      </c>
    </row>
    <row r="129">
      <c r="A129" s="126">
        <f>IF(B129="",0,2)</f>
        <v/>
      </c>
      <c r="B129" s="139">
        <f>List!C233</f>
        <v/>
      </c>
      <c r="C129" s="139">
        <f>List!D233</f>
        <v/>
      </c>
      <c r="D129" s="139">
        <f>List!E233</f>
        <v/>
      </c>
      <c r="E129" s="140">
        <f>List!F233</f>
        <v/>
      </c>
    </row>
    <row r="130">
      <c r="A130" s="126">
        <f>IF(B130="",0,2)</f>
        <v/>
      </c>
      <c r="B130" s="139">
        <f>List!C234</f>
        <v/>
      </c>
      <c r="C130" s="139">
        <f>List!D234</f>
        <v/>
      </c>
      <c r="D130" s="139">
        <f>List!E234</f>
        <v/>
      </c>
      <c r="E130" s="140">
        <f>List!F234</f>
        <v/>
      </c>
    </row>
    <row r="131" ht="15.95" customHeight="1" thickBot="1">
      <c r="A131" s="137">
        <f>IF(B131="",0,2)</f>
        <v/>
      </c>
      <c r="B131" s="141">
        <f>List!C235</f>
        <v/>
      </c>
      <c r="C131" s="141">
        <f>List!D235</f>
        <v/>
      </c>
      <c r="D131" s="141">
        <f>List!E235</f>
        <v/>
      </c>
      <c r="E131" s="142">
        <f>List!F235</f>
        <v/>
      </c>
    </row>
  </sheetData>
  <sheetProtection selectLockedCells="0" selectUnlockedCells="0" algorithmName="SHA-512" sheet="1" objects="1" insertRows="1" insertHyperlinks="1" autoFilter="1" scenarios="1" formatColumns="1" deleteColumns="1" insertColumns="1" pivotTables="1" deleteRows="1" formatCells="1" saltValue="yFhPndRXgbthL2JcyEHxGw==" formatRows="1" sort="1" spinCount="100000" hashValue="B4oVx6psGnKImD55qu+sq1NorMbDBvsjExc92nCnVOM4tnMIoYXcSy1P0eFUGjI0SuhjLbeB6baMmAsJVTjjAw=="/>
  <mergeCells count="13">
    <mergeCell ref="B9:E9"/>
    <mergeCell ref="B8:E8"/>
    <mergeCell ref="B4:E4"/>
    <mergeCell ref="B12:E12"/>
    <mergeCell ref="B13:E13"/>
    <mergeCell ref="B6:E6"/>
    <mergeCell ref="G15:H19"/>
    <mergeCell ref="B7:E7"/>
    <mergeCell ref="B11:E11"/>
    <mergeCell ref="G14:H14"/>
    <mergeCell ref="B14:C14"/>
    <mergeCell ref="B5:E5"/>
    <mergeCell ref="B10:E10"/>
  </mergeCells>
  <conditionalFormatting sqref="H2:H3">
    <cfRule type="cellIs" priority="2" operator="notEqual" dxfId="1">
      <formula>""</formula>
    </cfRule>
  </conditionalFormatting>
  <dataValidations count="2">
    <dataValidation sqref="H3" showDropDown="0" showInputMessage="1" showErrorMessage="1" allowBlank="1" type="list">
      <formula1>LALIST</formula1>
    </dataValidation>
    <dataValidation sqref="H2" showDropDown="0" showInputMessage="1" showErrorMessage="1" allowBlank="1" type="custom">
      <formula1>NOT(OR(_xlfn.REGEXTEST(H2, "[\\/:*?""&lt;&gt;\|,.]"),_xlfn.ISFORMULA(H2),LEN(H2)&gt;50))</formula1>
    </dataValidation>
  </dataValidations>
  <pageMargins left="0.7" right="0.7" top="0.75" bottom="0.75" header="0.3" footer="0.3"/>
  <pageSetup orientation="portrait" paperSize="9" horizontalDpi="0" verticalDpi="0"/>
</worksheet>
</file>

<file path=xl/worksheets/sheet2.xml><?xml version="1.0" encoding="utf-8"?>
<worksheet xmlns="http://schemas.openxmlformats.org/spreadsheetml/2006/main">
  <sheetPr>
    <outlinePr summaryBelow="1" summaryRight="1"/>
    <pageSetUpPr/>
  </sheetPr>
  <dimension ref="A1:J37"/>
  <sheetViews>
    <sheetView tabSelected="1" zoomScaleNormal="100" workbookViewId="0">
      <selection activeCell="B1" sqref="B1"/>
    </sheetView>
  </sheetViews>
  <sheetFormatPr baseColWidth="8" defaultColWidth="17.28515625" defaultRowHeight="15" customHeight="1"/>
  <cols>
    <col width="17.28515625" customWidth="1" style="104" min="1" max="1"/>
    <col width="17.28515625" customWidth="1" style="176" min="2" max="16384"/>
  </cols>
  <sheetData>
    <row r="1" ht="30" customFormat="1" customHeight="1" s="104" thickBot="1">
      <c r="A1" s="103" t="inlineStr">
        <is>
          <t xml:space="preserve">                      L
       W</t>
        </is>
      </c>
      <c r="B1" s="56" t="n">
        <v>5.06</v>
      </c>
      <c r="C1" s="56" t="inlineStr">
        <is>
          <t>*</t>
        </is>
      </c>
      <c r="D1" s="56" t="inlineStr">
        <is>
          <t>*</t>
        </is>
      </c>
      <c r="E1" s="56" t="inlineStr">
        <is>
          <t>*</t>
        </is>
      </c>
      <c r="F1" s="56" t="inlineStr">
        <is>
          <t>*</t>
        </is>
      </c>
      <c r="G1" s="56" t="inlineStr">
        <is>
          <t>*</t>
        </is>
      </c>
    </row>
    <row r="2" ht="30" customHeight="1">
      <c r="A2" s="56" t="n">
        <v>2.03</v>
      </c>
      <c r="B2" s="105">
        <f>IF(OR(B$1=NOLIST,$A2=NOLIST),"",$A2+0.12&amp;"x"&amp;B$1+0.12&amp;"m")</f>
        <v/>
      </c>
      <c r="C2" s="105">
        <f>IF(OR(C$1=NOLIST,$A2=NOLIST),"",$A2+0.12&amp;"x"&amp;C$1&amp;"m")</f>
        <v/>
      </c>
      <c r="D2" s="105">
        <f>IF(OR(D$1=NOLIST,$A2=NOLIST),"",$A2+0.12&amp;"x"&amp;D$1&amp;"m")</f>
        <v/>
      </c>
      <c r="E2" s="105">
        <f>IF(OR(E$1=NOLIST,$A2=NOLIST),"",$A2+0.12&amp;"x"&amp;E$1&amp;"m")</f>
        <v/>
      </c>
      <c r="F2" s="105">
        <f>IF(OR(F$1=NOLIST,$A2=NOLIST),"",$A2+0.12&amp;"x"&amp;F$1&amp;"m")</f>
        <v/>
      </c>
      <c r="G2" s="105">
        <f>IF(OR(G$1=NOLIST,$A2=NOLIST),"",$A2+0.12&amp;"x"&amp;G$1&amp;"m")</f>
        <v/>
      </c>
      <c r="I2" s="195" t="n"/>
      <c r="J2" s="35" t="n"/>
    </row>
    <row r="3" ht="30" customHeight="1" thickBot="1">
      <c r="A3" s="56" t="n">
        <v>2.03</v>
      </c>
      <c r="B3" s="105">
        <f>IF(OR(B$1=NOLIST,$A3=NOLIST),"",$A3&amp;"x"&amp;B$1+0.12&amp;"m")</f>
        <v/>
      </c>
      <c r="C3" s="105">
        <f>IF(OR(C$1=NOLIST,$A3=NOLIST),"",$A3&amp;"x"&amp;C$1&amp;"m")</f>
        <v/>
      </c>
      <c r="D3" s="105">
        <f>IF(OR(D$1=NOLIST,$A3=NOLIST),"",$A3&amp;"x"&amp;D$1&amp;"m")</f>
        <v/>
      </c>
      <c r="E3" s="105">
        <f>IF(OR(E$1=NOLIST,$A3=NOLIST),"",$A3&amp;"x"&amp;E$1&amp;"m")</f>
        <v/>
      </c>
      <c r="F3" s="105">
        <f>IF(OR(F$1=NOLIST,$A3=NOLIST),"",$A3&amp;"x"&amp;F$1&amp;"m")</f>
        <v/>
      </c>
      <c r="G3" s="105">
        <f>IF(OR(G$1=NOLIST,$A3=NOLIST),"",$A3&amp;"x"&amp;G$1&amp;"m")</f>
        <v/>
      </c>
      <c r="I3" s="38" t="n"/>
      <c r="J3" s="40" t="n"/>
    </row>
    <row r="4" ht="30" customHeight="1">
      <c r="A4" s="56" t="n">
        <v>2.03</v>
      </c>
      <c r="B4" s="105">
        <f>IF(OR(B$1=NOLIST,$A4=NOLIST),"",$A4&amp;"x"&amp;B$1+0.12&amp;"m")</f>
        <v/>
      </c>
      <c r="C4" s="105">
        <f>IF(OR(C$1=NOLIST,$A4=NOLIST),"",$A4&amp;"x"&amp;C$1&amp;"m")</f>
        <v/>
      </c>
      <c r="D4" s="105">
        <f>IF(OR(D$1=NOLIST,$A4=NOLIST),"",$A4&amp;"x"&amp;D$1&amp;"m")</f>
        <v/>
      </c>
      <c r="E4" s="105">
        <f>IF(OR(E$1=NOLIST,$A4=NOLIST),"",$A4&amp;"x"&amp;E$1&amp;"m")</f>
        <v/>
      </c>
      <c r="F4" s="105">
        <f>IF(OR(F$1=NOLIST,$A4=NOLIST),"",$A4&amp;"x"&amp;F$1&amp;"m")</f>
        <v/>
      </c>
      <c r="G4" s="105">
        <f>IF(OR(G$1=NOLIST,$A4=NOLIST),"",$A4&amp;"x"&amp;G$1&amp;"m")</f>
        <v/>
      </c>
      <c r="I4" s="107" t="n"/>
      <c r="J4" s="107" t="n"/>
    </row>
    <row r="5" ht="30" customHeight="1">
      <c r="A5" s="56" t="n">
        <v>2.03</v>
      </c>
      <c r="B5" s="105">
        <f>IF(OR(B$1=NOLIST,$A5=NOLIST),"",$A5&amp;"x"&amp;B$1+0.12&amp;"m")</f>
        <v/>
      </c>
      <c r="C5" s="105">
        <f>IF(OR(C$1=NOLIST,$A5=NOLIST),"",$A5&amp;"x"&amp;C$1&amp;"m")</f>
        <v/>
      </c>
      <c r="D5" s="105">
        <f>IF(OR(D$1=NOLIST,$A5=NOLIST),"",$A5&amp;"x"&amp;D$1&amp;"m")</f>
        <v/>
      </c>
      <c r="E5" s="105">
        <f>IF(OR(E$1=NOLIST,$A5=NOLIST),"",$A5&amp;"x"&amp;E$1&amp;"m")</f>
        <v/>
      </c>
      <c r="F5" s="105">
        <f>IF(OR(F$1=NOLIST,$A5=NOLIST),"",$A5&amp;"x"&amp;F$1&amp;"m")</f>
        <v/>
      </c>
      <c r="G5" s="105">
        <f>IF(OR(G$1=NOLIST,$A5=NOLIST),"",$A5&amp;"x"&amp;G$1&amp;"m")</f>
        <v/>
      </c>
      <c r="I5" s="107" t="n"/>
      <c r="J5" s="107" t="n"/>
    </row>
    <row r="6" ht="30" customHeight="1">
      <c r="A6" s="56" t="n">
        <v>2.03</v>
      </c>
      <c r="B6" s="105">
        <f>IF(OR(B$1=NOLIST,$A6=NOLIST),"",$A6&amp;"x"&amp;B$1+0.12&amp;"m")</f>
        <v/>
      </c>
      <c r="C6" s="105">
        <f>IF(OR(C$1=NOLIST,$A6=NOLIST),"",$A6&amp;"x"&amp;C$1&amp;"m")</f>
        <v/>
      </c>
      <c r="D6" s="105">
        <f>IF(OR(D$1=NOLIST,$A6=NOLIST),"",$A6&amp;"x"&amp;D$1&amp;"m")</f>
        <v/>
      </c>
      <c r="E6" s="105">
        <f>IF(OR(E$1=NOLIST,$A6=NOLIST),"",$A6&amp;"x"&amp;E$1&amp;"m")</f>
        <v/>
      </c>
      <c r="F6" s="105">
        <f>IF(OR(F$1=NOLIST,$A6=NOLIST),"",$A6&amp;"x"&amp;F$1&amp;"m")</f>
        <v/>
      </c>
      <c r="G6" s="105">
        <f>IF(OR(G$1=NOLIST,$A6=NOLIST),"",$A6&amp;"x"&amp;G$1&amp;"m")</f>
        <v/>
      </c>
      <c r="I6" s="107" t="n"/>
      <c r="J6" s="107" t="n"/>
    </row>
    <row r="7" ht="30" customHeight="1">
      <c r="A7" s="56" t="n">
        <v>2.03</v>
      </c>
      <c r="B7" s="105">
        <f>IF(OR(B$1=NOLIST,$A7=NOLIST),"",$A7&amp;"x"&amp;B$1+0.12&amp;"m")</f>
        <v/>
      </c>
      <c r="C7" s="105">
        <f>IF(OR(C$1=NOLIST,$A7=NOLIST),"",$A7&amp;"x"&amp;C$1&amp;"m")</f>
        <v/>
      </c>
      <c r="D7" s="105">
        <f>IF(OR(D$1=NOLIST,$A7=NOLIST),"",$A7&amp;"x"&amp;D$1&amp;"m")</f>
        <v/>
      </c>
      <c r="E7" s="105">
        <f>IF(OR(E$1=NOLIST,$A7=NOLIST),"",$A7&amp;"x"&amp;E$1&amp;"m")</f>
        <v/>
      </c>
      <c r="F7" s="105">
        <f>IF(OR(F$1=NOLIST,$A7=NOLIST),"",$A7&amp;"x"&amp;F$1&amp;"m")</f>
        <v/>
      </c>
      <c r="G7" s="105">
        <f>IF(OR(G$1=NOLIST,$A7=NOLIST),"",$A7&amp;"x"&amp;G$1&amp;"m")</f>
        <v/>
      </c>
    </row>
    <row r="8" ht="30" customHeight="1">
      <c r="A8" s="56" t="inlineStr">
        <is>
          <t>*</t>
        </is>
      </c>
      <c r="B8" s="105">
        <f>IF(OR(B$1=NOLIST,$A8=NOLIST),"",$A8&amp;"x"&amp;B$1+0.12&amp;"m")</f>
        <v/>
      </c>
      <c r="C8" s="105">
        <f>IF(OR(C$1=NOLIST,$A8=NOLIST),"",$A8&amp;"x"&amp;C$1&amp;"m")</f>
        <v/>
      </c>
      <c r="D8" s="105">
        <f>IF(OR(D$1=NOLIST,$A8=NOLIST),"",$A8&amp;"x"&amp;D$1&amp;"m")</f>
        <v/>
      </c>
      <c r="E8" s="105">
        <f>IF(OR(E$1=NOLIST,$A8=NOLIST),"",$A8&amp;"x"&amp;E$1&amp;"m")</f>
        <v/>
      </c>
      <c r="F8" s="105">
        <f>IF(OR(F$1=NOLIST,$A8=NOLIST),"",$A8&amp;"x"&amp;F$1&amp;"m")</f>
        <v/>
      </c>
      <c r="G8" s="105">
        <f>IF(OR(G$1=NOLIST,$A8=NOLIST),"",$A8&amp;"x"&amp;G$1&amp;"m")</f>
        <v/>
      </c>
    </row>
    <row r="9" ht="30" customHeight="1">
      <c r="A9" s="56" t="inlineStr">
        <is>
          <t>*</t>
        </is>
      </c>
      <c r="B9" s="105">
        <f>IF(OR(B$1=NOLIST,$A9=NOLIST),"",$A9&amp;"x"&amp;B$1+0.12&amp;"m")</f>
        <v/>
      </c>
      <c r="C9" s="105">
        <f>IF(OR(C$1=NOLIST,$A9=NOLIST),"",$A9&amp;"x"&amp;C$1&amp;"m")</f>
        <v/>
      </c>
      <c r="D9" s="105">
        <f>IF(OR(D$1=NOLIST,$A9=NOLIST),"",$A9&amp;"x"&amp;D$1&amp;"m")</f>
        <v/>
      </c>
      <c r="E9" s="105">
        <f>IF(OR(E$1=NOLIST,$A9=NOLIST),"",$A9&amp;"x"&amp;E$1&amp;"m")</f>
        <v/>
      </c>
      <c r="F9" s="105">
        <f>IF(OR(F$1=NOLIST,$A9=NOLIST),"",$A9&amp;"x"&amp;F$1&amp;"m")</f>
        <v/>
      </c>
      <c r="G9" s="105">
        <f>IF(OR(G$1=NOLIST,$A9=NOLIST),"",$A9&amp;"x"&amp;G$1&amp;"m")</f>
        <v/>
      </c>
    </row>
    <row r="10" ht="30" customHeight="1">
      <c r="A10" s="56" t="inlineStr">
        <is>
          <t>*</t>
        </is>
      </c>
      <c r="B10" s="105">
        <f>IF(OR(B$1=NOLIST,$A10=NOLIST),"",$A10&amp;"x"&amp;B$1+0.12&amp;"m")</f>
        <v/>
      </c>
      <c r="C10" s="105">
        <f>IF(OR(C$1=NOLIST,$A10=NOLIST),"",$A10&amp;"x"&amp;C$1&amp;"m")</f>
        <v/>
      </c>
      <c r="D10" s="105">
        <f>IF(OR(D$1=NOLIST,$A10=NOLIST),"",$A10&amp;"x"&amp;D$1&amp;"m")</f>
        <v/>
      </c>
      <c r="E10" s="105">
        <f>IF(OR(E$1=NOLIST,$A10=NOLIST),"",$A10&amp;"x"&amp;E$1&amp;"m")</f>
        <v/>
      </c>
      <c r="F10" s="105">
        <f>IF(OR(F$1=NOLIST,$A10=NOLIST),"",$A10&amp;"x"&amp;F$1&amp;"m")</f>
        <v/>
      </c>
      <c r="G10" s="105">
        <f>IF(OR(G$1=NOLIST,$A10=NOLIST),"",$A10&amp;"x"&amp;G$1&amp;"m")</f>
        <v/>
      </c>
    </row>
    <row r="11" ht="30" customHeight="1">
      <c r="A11" s="56" t="inlineStr">
        <is>
          <t>*</t>
        </is>
      </c>
      <c r="B11" s="105">
        <f>IF(OR(B$1=NOLIST,$A11=NOLIST),"",$A11&amp;"x"&amp;B$1+0.12&amp;"m")</f>
        <v/>
      </c>
      <c r="C11" s="105">
        <f>IF(OR(C$1=NOLIST,$A11=NOLIST),"",$A11&amp;"x"&amp;C$1&amp;"m")</f>
        <v/>
      </c>
      <c r="D11" s="105">
        <f>IF(OR(D$1=NOLIST,$A11=NOLIST),"",$A11&amp;"x"&amp;D$1&amp;"m")</f>
        <v/>
      </c>
      <c r="E11" s="105">
        <f>IF(OR(E$1=NOLIST,$A11=NOLIST),"",$A11&amp;"x"&amp;E$1&amp;"m")</f>
        <v/>
      </c>
      <c r="F11" s="105">
        <f>IF(OR(F$1=NOLIST,$A11=NOLIST),"",$A11&amp;"x"&amp;F$1&amp;"m")</f>
        <v/>
      </c>
      <c r="G11" s="105">
        <f>IF(OR(G$1=NOLIST,$A11=NOLIST),"",$A11&amp;"x"&amp;G$1&amp;"m")</f>
        <v/>
      </c>
    </row>
    <row r="12" ht="30" customHeight="1">
      <c r="A12" s="56" t="inlineStr">
        <is>
          <t>*</t>
        </is>
      </c>
      <c r="B12" s="105">
        <f>IF(OR(B$1=NOLIST,$A12=NOLIST),"",$A12&amp;"x"&amp;B$1+0.12&amp;"m")</f>
        <v/>
      </c>
      <c r="C12" s="105">
        <f>IF(OR(C$1=NOLIST,$A12=NOLIST),"",$A12&amp;"x"&amp;C$1&amp;"m")</f>
        <v/>
      </c>
      <c r="D12" s="105">
        <f>IF(OR(D$1=NOLIST,$A12=NOLIST),"",$A12&amp;"x"&amp;D$1&amp;"m")</f>
        <v/>
      </c>
      <c r="E12" s="105">
        <f>IF(OR(E$1=NOLIST,$A12=NOLIST),"",$A12&amp;"x"&amp;E$1&amp;"m")</f>
        <v/>
      </c>
      <c r="F12" s="105">
        <f>IF(OR(F$1=NOLIST,$A12=NOLIST),"",$A12&amp;"x"&amp;F$1&amp;"m")</f>
        <v/>
      </c>
      <c r="G12" s="105">
        <f>IF(OR(G$1=NOLIST,$A12=NOLIST),"",$A12&amp;"x"&amp;G$1&amp;"m")</f>
        <v/>
      </c>
    </row>
    <row r="13" ht="30" customHeight="1">
      <c r="A13" s="56" t="inlineStr">
        <is>
          <t>*</t>
        </is>
      </c>
      <c r="B13" s="105">
        <f>IF(OR(B$1=NOLIST,$A13=NOLIST),"",$A13&amp;"x"&amp;B$1+0.12&amp;"m")</f>
        <v/>
      </c>
      <c r="C13" s="105">
        <f>IF(OR(C$1=NOLIST,$A13=NOLIST),"",$A13&amp;"x"&amp;C$1&amp;"m")</f>
        <v/>
      </c>
      <c r="D13" s="105">
        <f>IF(OR(D$1=NOLIST,$A13=NOLIST),"",$A13&amp;"x"&amp;D$1&amp;"m")</f>
        <v/>
      </c>
      <c r="E13" s="105">
        <f>IF(OR(E$1=NOLIST,$A13=NOLIST),"",$A13&amp;"x"&amp;E$1&amp;"m")</f>
        <v/>
      </c>
      <c r="F13" s="105">
        <f>IF(OR(F$1=NOLIST,$A13=NOLIST),"",$A13&amp;"x"&amp;F$1&amp;"m")</f>
        <v/>
      </c>
      <c r="G13" s="105">
        <f>IF(OR(G$1=NOLIST,$A13=NOLIST),"",$A13&amp;"x"&amp;G$1&amp;"m")</f>
        <v/>
      </c>
    </row>
    <row r="14" ht="15" customHeight="1">
      <c r="A14" s="108" t="n"/>
    </row>
    <row r="15" ht="15" customHeight="1">
      <c r="A15" s="176" t="n"/>
      <c r="C15" s="108" t="n"/>
      <c r="F15" s="22" t="inlineStr">
        <is>
          <t>Roof dimensions - WxL=</t>
        </is>
      </c>
      <c r="G15" s="109">
        <f>IF(OR(A2="*",B1="*"),"",Calc!D12)</f>
        <v/>
      </c>
    </row>
    <row r="16" ht="15" customHeight="1">
      <c r="A16" s="110" t="inlineStr">
        <is>
          <t>Treatment</t>
        </is>
      </c>
      <c r="B16" s="57" t="inlineStr">
        <is>
          <t>Powder coated</t>
        </is>
      </c>
      <c r="F16" s="22" t="inlineStr">
        <is>
          <t>Centre-to-centre dimensions - WxL=</t>
        </is>
      </c>
      <c r="G16" s="109">
        <f>IF(OR(A2="*",B1="*"),"",Calc!D11)</f>
        <v/>
      </c>
    </row>
    <row r="17" ht="15" customHeight="1" thickBot="1">
      <c r="A17" s="110" t="inlineStr">
        <is>
          <t>Version</t>
        </is>
      </c>
      <c r="B17" s="57" t="inlineStr">
        <is>
          <t>Standard</t>
        </is>
      </c>
    </row>
    <row r="18" ht="15" customHeight="1">
      <c r="A18" s="108" t="n"/>
      <c r="E18" s="196">
        <f>_xlfn.TEXTJOIN(CHAR(10),TRUE,Calc!E85:E103)</f>
        <v/>
      </c>
      <c r="F18" s="34" t="n"/>
      <c r="G18" s="35" t="n"/>
    </row>
    <row r="19" ht="15" customHeight="1">
      <c r="A19" s="110" t="inlineStr">
        <is>
          <t>Wall material</t>
        </is>
      </c>
      <c r="B19" s="58" t="inlineStr">
        <is>
          <t>2D mesh</t>
        </is>
      </c>
      <c r="E19" s="36" t="n"/>
      <c r="G19" s="37" t="n"/>
    </row>
    <row r="20" ht="15" customHeight="1">
      <c r="A20" s="110" t="inlineStr">
        <is>
          <t>Mesh finish</t>
        </is>
      </c>
      <c r="B20" s="94" t="inlineStr">
        <is>
          <t>RAV716</t>
        </is>
      </c>
      <c r="E20" s="36" t="n"/>
      <c r="G20" s="37" t="n"/>
    </row>
    <row r="21" ht="15" customHeight="1">
      <c r="A21" s="110" t="inlineStr">
        <is>
          <t>Top wall</t>
        </is>
      </c>
      <c r="B21" s="58" t="inlineStr">
        <is>
          <t>Yes</t>
        </is>
      </c>
      <c r="E21" s="36" t="n"/>
      <c r="G21" s="37" t="n"/>
    </row>
    <row r="22" ht="15" customHeight="1">
      <c r="A22" s="110" t="inlineStr">
        <is>
          <t>Right wall</t>
        </is>
      </c>
      <c r="B22" s="58" t="inlineStr">
        <is>
          <t>Yes</t>
        </is>
      </c>
      <c r="E22" s="36" t="n"/>
      <c r="G22" s="37" t="n"/>
    </row>
    <row r="23" ht="15" customHeight="1">
      <c r="A23" s="110" t="inlineStr">
        <is>
          <t>Bottom wall</t>
        </is>
      </c>
      <c r="B23" s="58" t="inlineStr">
        <is>
          <t>Yes</t>
        </is>
      </c>
      <c r="E23" s="36" t="n"/>
      <c r="G23" s="37" t="n"/>
    </row>
    <row r="24" ht="15" customHeight="1">
      <c r="A24" s="110" t="inlineStr">
        <is>
          <t>Left wall</t>
        </is>
      </c>
      <c r="B24" s="58" t="inlineStr">
        <is>
          <t>Yes</t>
        </is>
      </c>
      <c r="E24" s="36" t="n"/>
      <c r="G24" s="37" t="n"/>
    </row>
    <row r="25" ht="15" customHeight="1">
      <c r="A25" s="110" t="inlineStr">
        <is>
          <t>Remove cladding</t>
        </is>
      </c>
      <c r="B25" s="59" t="inlineStr">
        <is>
          <t>No</t>
        </is>
      </c>
      <c r="E25" s="36" t="n"/>
      <c r="G25" s="37" t="n"/>
    </row>
    <row r="26" ht="15" customHeight="1">
      <c r="E26" s="36" t="n"/>
      <c r="G26" s="37" t="n"/>
    </row>
    <row r="27" ht="15" customHeight="1">
      <c r="A27" s="180" t="inlineStr">
        <is>
          <t>Entrance type</t>
        </is>
      </c>
      <c r="B27" s="180" t="inlineStr">
        <is>
          <t>Segment size</t>
        </is>
      </c>
      <c r="C27" s="180" t="inlineStr">
        <is>
          <t>Amount</t>
        </is>
      </c>
      <c r="E27" s="36" t="n"/>
      <c r="G27" s="37" t="n"/>
    </row>
    <row r="28" ht="15" customHeight="1">
      <c r="A28" s="143" t="inlineStr">
        <is>
          <t>Single swing gate</t>
        </is>
      </c>
      <c r="B28" s="144" t="n">
        <v>2.03</v>
      </c>
      <c r="C28" s="143" t="n">
        <v>1</v>
      </c>
      <c r="E28" s="36" t="n"/>
      <c r="G28" s="37" t="n"/>
    </row>
    <row r="29" ht="15" customHeight="1">
      <c r="A29" s="143" t="inlineStr">
        <is>
          <t xml:space="preserve"> </t>
        </is>
      </c>
      <c r="B29" s="144" t="inlineStr">
        <is>
          <t xml:space="preserve"> </t>
        </is>
      </c>
      <c r="C29" s="143" t="n"/>
      <c r="E29" s="36" t="n"/>
      <c r="G29" s="37" t="n"/>
    </row>
    <row r="30" ht="15" customHeight="1">
      <c r="A30" s="143" t="inlineStr">
        <is>
          <t xml:space="preserve"> </t>
        </is>
      </c>
      <c r="B30" s="144" t="inlineStr">
        <is>
          <t xml:space="preserve"> </t>
        </is>
      </c>
      <c r="C30" s="143" t="n"/>
      <c r="E30" s="36" t="n"/>
      <c r="G30" s="37" t="n"/>
    </row>
    <row r="31" ht="15" customHeight="1">
      <c r="A31" s="143" t="inlineStr">
        <is>
          <t xml:space="preserve"> </t>
        </is>
      </c>
      <c r="B31" s="144" t="inlineStr">
        <is>
          <t xml:space="preserve"> </t>
        </is>
      </c>
      <c r="C31" s="143" t="n"/>
      <c r="E31" s="36" t="n"/>
      <c r="G31" s="37" t="n"/>
    </row>
    <row r="32" ht="15" customHeight="1" thickBot="1">
      <c r="A32" s="180" t="inlineStr">
        <is>
          <t>Gate hardware kit</t>
        </is>
      </c>
      <c r="B32" s="192" t="n"/>
      <c r="E32" s="38" t="n"/>
      <c r="F32" s="39" t="n"/>
      <c r="G32" s="40" t="n"/>
    </row>
    <row r="33" ht="15" customHeight="1" thickBot="1">
      <c r="A33" s="179" t="inlineStr">
        <is>
          <t>Euro cylinder lock</t>
        </is>
      </c>
      <c r="B33" s="197" t="n"/>
    </row>
    <row r="34" ht="15" customHeight="1" thickBot="1">
      <c r="A34" s="108" t="n"/>
      <c r="D34" s="198" t="n"/>
      <c r="E34" s="35" t="n"/>
      <c r="F34" s="198" t="inlineStr">
        <is>
          <t>Domino Excel config</t>
        </is>
      </c>
      <c r="G34" s="43" t="n"/>
    </row>
    <row r="35" ht="15" customHeight="1">
      <c r="A35" s="112" t="inlineStr">
        <is>
          <t>Roof edge trim</t>
        </is>
      </c>
      <c r="B35" s="58" t="inlineStr">
        <is>
          <t>No</t>
        </is>
      </c>
      <c r="D35" s="36" t="n"/>
      <c r="E35" s="37" t="n"/>
      <c r="F35" s="113" t="inlineStr">
        <is>
          <t>Date</t>
        </is>
      </c>
      <c r="G35" s="114" t="n">
        <v>45896</v>
      </c>
    </row>
    <row r="36" ht="15" customHeight="1">
      <c r="A36" s="110" t="inlineStr">
        <is>
          <t>Chemical anchors</t>
        </is>
      </c>
      <c r="B36" s="58" t="inlineStr">
        <is>
          <t>Yes</t>
        </is>
      </c>
      <c r="D36" s="36" t="n"/>
      <c r="E36" s="37" t="n"/>
      <c r="F36" s="115" t="inlineStr">
        <is>
          <t>Version</t>
        </is>
      </c>
      <c r="G36" s="116" t="inlineStr">
        <is>
          <t>2.3-EXP</t>
        </is>
      </c>
    </row>
    <row r="37" ht="15" customHeight="1" thickBot="1">
      <c r="D37" s="38" t="n"/>
      <c r="E37" s="40" t="n"/>
      <c r="F37" s="117" t="inlineStr">
        <is>
          <t>Author</t>
        </is>
      </c>
      <c r="G37" s="118" t="inlineStr">
        <is>
          <t>ST</t>
        </is>
      </c>
    </row>
  </sheetData>
  <sheetProtection selectLockedCells="0" selectUnlockedCells="0" algorithmName="SHA-512" sheet="1" objects="1" insertRows="1" insertHyperlinks="1" autoFilter="1" scenarios="1" formatColumns="1" deleteColumns="1" insertColumns="1" pivotTables="1" deleteRows="1" formatCells="1" saltValue="Mfc43E7iOxgj61zhPFhonQ==" formatRows="1" sort="1" spinCount="100000" hashValue="5WqLizMwW9gWzDAbR0incWR/3jDeUK/RR5D+qfI4F9kzHkT8zabXv3mD5rUN4sh0KuiW0OWg10Rdqwm2zLxVwQ=="/>
  <mergeCells count="6">
    <mergeCell ref="D34:E37"/>
    <mergeCell ref="A33:B33"/>
    <mergeCell ref="E18:G32"/>
    <mergeCell ref="F34:G34"/>
    <mergeCell ref="I2:J3"/>
    <mergeCell ref="A32:B32"/>
  </mergeCells>
  <conditionalFormatting sqref="A33">
    <cfRule type="cellIs" priority="8" operator="equal" dxfId="0">
      <formula>" "</formula>
    </cfRule>
    <cfRule type="cellIs" priority="9" operator="equal" dxfId="0">
      <formula>""</formula>
    </cfRule>
  </conditionalFormatting>
  <conditionalFormatting sqref="A28:C31">
    <cfRule type="cellIs" priority="5" operator="equal" dxfId="0">
      <formula>0</formula>
    </cfRule>
    <cfRule type="cellIs" priority="10" operator="equal" dxfId="0">
      <formula>""</formula>
    </cfRule>
    <cfRule type="cellIs" priority="11" operator="equal" dxfId="0">
      <formula>" "</formula>
    </cfRule>
  </conditionalFormatting>
  <conditionalFormatting sqref="A2 B1">
    <cfRule type="cellIs" priority="29" operator="equal" dxfId="2">
      <formula>NOLIST</formula>
    </cfRule>
  </conditionalFormatting>
  <conditionalFormatting sqref="B16:B17">
    <cfRule type="cellIs" priority="30" operator="equal" dxfId="2">
      <formula>""</formula>
    </cfRule>
  </conditionalFormatting>
  <conditionalFormatting sqref="B20">
    <cfRule type="cellIs" priority="12" operator="equal" dxfId="0">
      <formula>" "</formula>
    </cfRule>
    <cfRule type="cellIs" priority="23" operator="equal" dxfId="0">
      <formula>""</formula>
    </cfRule>
  </conditionalFormatting>
  <conditionalFormatting sqref="B19 B21:B25 B35:B36">
    <cfRule type="cellIs" priority="47" operator="notEqual" dxfId="1">
      <formula>""</formula>
    </cfRule>
  </conditionalFormatting>
  <conditionalFormatting sqref="A2:A13 B1:G1 B28:B31">
    <cfRule type="cellIs" priority="25" operator="equal" dxfId="14">
      <formula>2.53</formula>
    </cfRule>
  </conditionalFormatting>
  <conditionalFormatting sqref="A2:A13 B1:G1">
    <cfRule type="cellIs" priority="31" operator="equal" dxfId="2">
      <formula>""</formula>
    </cfRule>
  </conditionalFormatting>
  <conditionalFormatting sqref="B2:G13 G15:G16">
    <cfRule type="cellIs" priority="42" operator="notEqual" dxfId="12">
      <formula>""</formula>
    </cfRule>
  </conditionalFormatting>
  <conditionalFormatting sqref="A3:A13 C1:G1">
    <cfRule type="cellIs" priority="36" operator="equal" dxfId="0">
      <formula>NOLIST</formula>
    </cfRule>
  </conditionalFormatting>
  <dataValidations count="16">
    <dataValidation sqref="B16" showDropDown="0" showInputMessage="1" showErrorMessage="1" allowBlank="1" type="list">
      <formula1>TMLIST</formula1>
    </dataValidation>
    <dataValidation sqref="C1:F1" showDropDown="0" showInputMessage="1" showErrorMessage="1" allowBlank="0" type="list">
      <formula1>IF(B$1=NOLIST,NOLIST,IF(D$1=NOLIST,LLIST1,LLIST2))</formula1>
    </dataValidation>
    <dataValidation sqref="A2" showDropDown="0" showInputMessage="1" showErrorMessage="1" allowBlank="0" type="list">
      <formula1>IF($A$3=NOLIST,WLIST1,WLIST2)</formula1>
    </dataValidation>
    <dataValidation sqref="B1" showDropDown="0" showInputMessage="1" showErrorMessage="1" allowBlank="0" type="list">
      <formula1>IF($C$1=NOLIST,LLIST1,LLIST2)</formula1>
    </dataValidation>
    <dataValidation sqref="A3:A12" showDropDown="0" showInputMessage="1" showErrorMessage="1" allowBlank="0" type="list">
      <formula1>IF($A2=NOLIST,NOLIST,IF($A4=NOLIST,WLIST1,WLIST2))</formula1>
    </dataValidation>
    <dataValidation sqref="G1" showDropDown="0" showInputMessage="1" showErrorMessage="1" allowBlank="0" type="list">
      <formula1>IF(F$1=NOLIST,NOLIST,LLIST1)</formula1>
    </dataValidation>
    <dataValidation sqref="A13" showDropDown="0" showInputMessage="1" showErrorMessage="1" allowBlank="1" type="list">
      <formula1>IF($A12=NOLIST,NOLIST,WLIST1)</formula1>
    </dataValidation>
    <dataValidation sqref="B17" showDropDown="0" showInputMessage="1" showErrorMessage="1" allowBlank="1" type="list">
      <formula1>"Standard,PLUS"</formula1>
    </dataValidation>
    <dataValidation sqref="B19" showDropDown="0" showInputMessage="1" showErrorMessage="1" allowBlank="1" type="list">
      <formula1>WOLIST</formula1>
    </dataValidation>
    <dataValidation sqref="B21:B24 B35 B36" showDropDown="0" showInputMessage="1" showErrorMessage="1" allowBlank="1" type="list">
      <formula1>"Yes,No"</formula1>
    </dataValidation>
    <dataValidation sqref="B25" showDropDown="0" showInputMessage="1" showErrorMessage="1" allowBlank="1" type="list" operator="greaterThanOrEqual">
      <formula1>"Yes,No"</formula1>
    </dataValidation>
    <dataValidation sqref="A28:A31" showDropDown="0" showInputMessage="1" showErrorMessage="1" allowBlank="1" type="list">
      <formula1>ATLIST</formula1>
    </dataValidation>
    <dataValidation sqref="B28:B31" showDropDown="0" showInputMessage="1" showErrorMessage="1" allowBlank="1" type="list">
      <formula1>SSLIST</formula1>
    </dataValidation>
    <dataValidation sqref="B20" showDropDown="0" showInputMessage="1" showErrorMessage="1" allowBlank="1" type="list">
      <formula1>MFLIST</formula1>
    </dataValidation>
    <dataValidation sqref="C28" showDropDown="0" showInputMessage="1" showErrorMessage="1" allowBlank="1" type="decimal" operator="greaterThanOrEqual">
      <formula1>0</formula1>
    </dataValidation>
    <dataValidation sqref="A33:B33" showDropDown="0" showInputMessage="1" showErrorMessage="1" allowBlank="1" type="list">
      <formula1>LFLIST</formula1>
    </dataValidation>
  </dataValidations>
  <pageMargins left="0.7" right="0.7" top="0.75" bottom="0.75" header="0.3" footer="0.3"/>
  <pageSetup orientation="portrait" paperSize="9" horizontalDpi="300" verticalDpi="0"/>
</worksheet>
</file>

<file path=xl/worksheets/sheet3.xml><?xml version="1.0" encoding="utf-8"?>
<worksheet xmlns="http://schemas.openxmlformats.org/spreadsheetml/2006/main">
  <sheetPr>
    <outlinePr summaryBelow="1" summaryRight="1"/>
    <pageSetUpPr/>
  </sheetPr>
  <dimension ref="A1:O674"/>
  <sheetViews>
    <sheetView workbookViewId="0">
      <selection activeCell="H134" sqref="H134"/>
    </sheetView>
  </sheetViews>
  <sheetFormatPr baseColWidth="8" defaultColWidth="18.7109375" defaultRowHeight="15"/>
  <cols>
    <col width="6.7109375" customWidth="1" style="2" min="1" max="2"/>
    <col width="18.7109375" customWidth="1" style="2" min="3" max="6"/>
    <col width="18.7109375" customWidth="1" style="79" min="7" max="7"/>
    <col width="18.7109375" customWidth="1" style="80" min="8" max="8"/>
    <col width="18.7109375" customWidth="1" style="2" min="9" max="16384"/>
  </cols>
  <sheetData>
    <row r="1" ht="15.95" customHeight="1" thickBot="1">
      <c r="C1" s="76" t="inlineStr">
        <is>
          <t>LLIST1</t>
        </is>
      </c>
      <c r="D1" s="77" t="inlineStr">
        <is>
          <t>LLIST2</t>
        </is>
      </c>
      <c r="E1" s="77" t="inlineStr">
        <is>
          <t>WLIST1</t>
        </is>
      </c>
      <c r="F1" s="77" t="inlineStr">
        <is>
          <t>WLIST2</t>
        </is>
      </c>
      <c r="G1" s="90" t="inlineStr">
        <is>
          <t>NOLIST</t>
        </is>
      </c>
      <c r="H1" s="90" t="inlineStr">
        <is>
          <t>TMLIST</t>
        </is>
      </c>
      <c r="I1" s="91" t="inlineStr">
        <is>
          <t>WOLIST</t>
        </is>
      </c>
      <c r="J1" s="182" t="inlineStr">
        <is>
          <t>ATLIST</t>
        </is>
      </c>
      <c r="K1" s="182" t="inlineStr">
        <is>
          <t>SSLIST</t>
        </is>
      </c>
      <c r="L1" s="182" t="inlineStr">
        <is>
          <t>MFLIST</t>
        </is>
      </c>
      <c r="M1" s="183" t="inlineStr">
        <is>
          <t>LFLIST</t>
        </is>
      </c>
    </row>
    <row r="2">
      <c r="C2" s="6" t="inlineStr">
        <is>
          <t>*</t>
        </is>
      </c>
      <c r="D2" s="101" t="n">
        <v>2.03</v>
      </c>
      <c r="E2" s="101" t="inlineStr">
        <is>
          <t>*</t>
        </is>
      </c>
      <c r="F2" s="101" t="n">
        <v>2.03</v>
      </c>
      <c r="G2" s="102" t="inlineStr">
        <is>
          <t>*</t>
        </is>
      </c>
      <c r="H2" s="102" t="inlineStr">
        <is>
          <t>Galvanized</t>
        </is>
      </c>
      <c r="I2" s="83" t="inlineStr">
        <is>
          <t>No wall</t>
        </is>
      </c>
      <c r="J2" s="2" t="inlineStr">
        <is>
          <t xml:space="preserve"> </t>
        </is>
      </c>
      <c r="K2" s="2" t="inlineStr">
        <is>
          <t xml:space="preserve"> </t>
        </is>
      </c>
      <c r="L2" s="2" t="inlineStr">
        <is>
          <t xml:space="preserve"> </t>
        </is>
      </c>
      <c r="M2" s="99" t="inlineStr">
        <is>
          <t xml:space="preserve"> </t>
        </is>
      </c>
    </row>
    <row r="3">
      <c r="C3" s="6" t="n">
        <v>2.03</v>
      </c>
      <c r="D3" s="100" t="n">
        <v>2.53</v>
      </c>
      <c r="E3" s="101" t="n">
        <v>2.03</v>
      </c>
      <c r="F3" s="100" t="n">
        <v>2.53</v>
      </c>
      <c r="G3" s="102" t="n"/>
      <c r="H3" s="102" t="inlineStr">
        <is>
          <t>Powder coated</t>
        </is>
      </c>
      <c r="I3" s="83" t="inlineStr">
        <is>
          <t>2D mesh</t>
        </is>
      </c>
      <c r="J3" s="2" t="inlineStr">
        <is>
          <t>Wall opening</t>
        </is>
      </c>
      <c r="K3" s="101" t="n">
        <v>2.03</v>
      </c>
      <c r="L3" s="2" t="inlineStr">
        <is>
          <t>RAL6005</t>
        </is>
      </c>
      <c r="M3" s="3" t="inlineStr">
        <is>
          <t>Euro cylinder lock</t>
        </is>
      </c>
    </row>
    <row r="4">
      <c r="C4" s="23" t="n">
        <v>2.53</v>
      </c>
      <c r="D4" s="101" t="n">
        <v>4.06</v>
      </c>
      <c r="E4" s="100" t="n">
        <v>2.53</v>
      </c>
      <c r="F4" s="101" t="n"/>
      <c r="G4" s="102" t="n"/>
      <c r="H4" s="102" t="inlineStr">
        <is>
          <t>Roof edge coated</t>
        </is>
      </c>
      <c r="I4" s="83" t="inlineStr">
        <is>
          <t>Thermowood</t>
        </is>
      </c>
      <c r="J4" s="2" t="inlineStr">
        <is>
          <t>Single swing gate</t>
        </is>
      </c>
      <c r="K4" s="100" t="n">
        <v>2.53</v>
      </c>
      <c r="L4" s="2" t="inlineStr">
        <is>
          <t>RAL7016</t>
        </is>
      </c>
      <c r="M4" s="3" t="inlineStr">
        <is>
          <t>Mechanical code lock</t>
        </is>
      </c>
    </row>
    <row r="5">
      <c r="C5" s="6" t="n">
        <v>4.06</v>
      </c>
      <c r="D5" s="101" t="n">
        <v>5.06</v>
      </c>
      <c r="E5" s="101" t="n"/>
      <c r="F5" s="101" t="n"/>
      <c r="G5" s="102" t="n"/>
      <c r="H5" s="102" t="n"/>
      <c r="I5" s="83" t="inlineStr">
        <is>
          <t>Glass</t>
        </is>
      </c>
      <c r="J5" s="2" t="inlineStr">
        <is>
          <t>Double swing gate</t>
        </is>
      </c>
      <c r="L5" s="2" t="inlineStr">
        <is>
          <t>RAL9005</t>
        </is>
      </c>
      <c r="M5" s="2" t="inlineStr">
        <is>
          <t>Battery powered code lock</t>
        </is>
      </c>
    </row>
    <row r="6">
      <c r="C6" s="6" t="n">
        <v>5.06</v>
      </c>
      <c r="D6" s="101" t="n">
        <v>6.09</v>
      </c>
      <c r="E6" s="101" t="n"/>
      <c r="F6" s="101" t="n"/>
      <c r="G6" s="102" t="n"/>
      <c r="H6" s="102" t="n"/>
      <c r="I6" s="83" t="n"/>
      <c r="L6" s="2" t="inlineStr">
        <is>
          <t>Galvanized</t>
        </is>
      </c>
      <c r="M6" s="3" t="inlineStr">
        <is>
          <t>No lock or fittings</t>
        </is>
      </c>
    </row>
    <row r="7" ht="15.95" customHeight="1" thickBot="1">
      <c r="C7" s="7" t="n">
        <v>6.09</v>
      </c>
      <c r="D7" s="8" t="n"/>
      <c r="E7" s="8" t="n"/>
      <c r="F7" s="8" t="n"/>
      <c r="G7" s="92" t="n"/>
      <c r="H7" s="92" t="n"/>
      <c r="I7" s="93" t="n"/>
      <c r="J7" s="4" t="n"/>
      <c r="K7" s="4" t="n"/>
      <c r="L7" s="4" t="n"/>
      <c r="M7" s="5" t="n"/>
    </row>
    <row r="8">
      <c r="C8" s="1" t="n"/>
    </row>
    <row r="9">
      <c r="C9" s="1" t="inlineStr">
        <is>
          <t>Width (axis)</t>
        </is>
      </c>
      <c r="D9" s="2">
        <f>D27*2.03+D28*2.53</f>
        <v/>
      </c>
    </row>
    <row r="10">
      <c r="C10" s="1" t="inlineStr">
        <is>
          <t>Length (axis)</t>
        </is>
      </c>
      <c r="D10" s="2">
        <f>D30*2.03+D31*2.53+D32*4.06+D33*5.06+D34*6.09</f>
        <v/>
      </c>
    </row>
    <row r="11">
      <c r="C11" s="1" t="inlineStr">
        <is>
          <t>WxL (axis)</t>
        </is>
      </c>
      <c r="D11" s="2">
        <f>D9&amp;"x"&amp;D10&amp;"m"</f>
        <v/>
      </c>
      <c r="O11" s="44" t="n"/>
    </row>
    <row r="12">
      <c r="C12" s="1" t="inlineStr">
        <is>
          <t>WxL (roof)</t>
        </is>
      </c>
      <c r="D12" s="2">
        <f>D9+0.12&amp;"x"&amp;D10+0.12&amp;"m"</f>
        <v/>
      </c>
      <c r="O12" s="44" t="n"/>
    </row>
    <row r="13">
      <c r="O13" s="44" t="n"/>
    </row>
    <row r="14">
      <c r="C14" s="1" t="inlineStr">
        <is>
          <t>Roof</t>
        </is>
      </c>
      <c r="D14" s="2" t="n">
        <v>0</v>
      </c>
      <c r="E14" s="12" t="inlineStr">
        <is>
          <t>Steel = 0 / Polycarbonate = 1</t>
        </is>
      </c>
      <c r="O14" s="44" t="n"/>
    </row>
    <row r="15">
      <c r="C15" s="21" t="inlineStr">
        <is>
          <t>Treatment</t>
        </is>
      </c>
      <c r="D15" s="2">
        <f>_xlfn.IFNA(MATCH(Configure!B16,TMLIST,0)-1,0)</f>
        <v/>
      </c>
      <c r="E15" s="12" t="inlineStr">
        <is>
          <t>Galvanized = 0 / Powder coated = 1 / Roof edge coated = 2</t>
        </is>
      </c>
    </row>
    <row r="16">
      <c r="C16" s="21" t="inlineStr">
        <is>
          <t>Treatment roof edge</t>
        </is>
      </c>
      <c r="D16" s="2">
        <f t="array" ref="D16">_xlfn.SWITCH($D$15,0,0,1,1,2,1)</f>
        <v/>
      </c>
      <c r="E16" s="12" t="inlineStr">
        <is>
          <t>Galvanized = 0 / Powder coated = 1</t>
        </is>
      </c>
    </row>
    <row r="17">
      <c r="C17" s="21" t="inlineStr">
        <is>
          <t>Treatment structure</t>
        </is>
      </c>
      <c r="D17" s="2">
        <f t="array" ref="D17">_xlfn.SWITCH($D$15,0,0,1,1,2,0)</f>
        <v/>
      </c>
      <c r="E17" s="12" t="inlineStr">
        <is>
          <t>Galvanized = 0 / Powder coated = 1</t>
        </is>
      </c>
    </row>
    <row r="18">
      <c r="C18" s="21" t="inlineStr">
        <is>
          <t>Version</t>
        </is>
      </c>
      <c r="D18" s="2">
        <f>IF(Configure!B17="PLUS",1,0)</f>
        <v/>
      </c>
      <c r="E18" s="12" t="inlineStr">
        <is>
          <t>Standard height = 0 / PLUS = 1</t>
        </is>
      </c>
    </row>
    <row r="19">
      <c r="C19" s="21" t="inlineStr">
        <is>
          <t>LED</t>
        </is>
      </c>
      <c r="D19" s="2" t="n">
        <v>0</v>
      </c>
      <c r="E19" s="12" t="n"/>
    </row>
    <row r="20">
      <c r="C20" s="21" t="inlineStr">
        <is>
          <t>Beams</t>
        </is>
      </c>
      <c r="D20" s="2" t="n">
        <v>1</v>
      </c>
      <c r="E20" s="12" t="n"/>
    </row>
    <row r="21">
      <c r="C21" s="21" t="inlineStr">
        <is>
          <t>Roof edge trim</t>
        </is>
      </c>
      <c r="D21" s="2">
        <f>IF(Configure!B35="Yes",1,0)</f>
        <v/>
      </c>
      <c r="E21" s="12" t="n"/>
    </row>
    <row r="22">
      <c r="C22" s="21" t="inlineStr">
        <is>
          <t>Chemical anchors</t>
        </is>
      </c>
      <c r="D22" s="2">
        <f>IF(Configure!B36="Yes",1,0)</f>
        <v/>
      </c>
      <c r="E22" s="12" t="n"/>
    </row>
    <row r="23">
      <c r="C23" s="21" t="inlineStr">
        <is>
          <t>Wedge anchors</t>
        </is>
      </c>
      <c r="D23" s="2" t="n">
        <v>0</v>
      </c>
      <c r="E23" s="12" t="n"/>
    </row>
    <row r="24">
      <c r="C24" s="21" t="inlineStr">
        <is>
          <t>Sealant</t>
        </is>
      </c>
      <c r="D24" s="2" t="n">
        <v>0</v>
      </c>
      <c r="E24" s="12" t="n"/>
    </row>
    <row r="26">
      <c r="C26" s="1" t="inlineStr">
        <is>
          <t>Modules W</t>
        </is>
      </c>
      <c r="D26" s="2">
        <f>SUM(D27:D28)</f>
        <v/>
      </c>
      <c r="E26" t="inlineStr">
        <is>
          <t>WARNING: Overriding D24-D33 will miscalculate braces; update D60-D63 as well.</t>
        </is>
      </c>
    </row>
    <row r="27">
      <c r="C27" s="1" t="inlineStr">
        <is>
          <t>Modules W2</t>
        </is>
      </c>
      <c r="D27" s="2">
        <f>COUNTIF(Configure!A2:A13,2.03)</f>
        <v/>
      </c>
    </row>
    <row r="28">
      <c r="C28" s="1" t="inlineStr">
        <is>
          <t>Modules W2,5</t>
        </is>
      </c>
      <c r="D28" s="2">
        <f>COUNTIF(Configure!A2:A13,2.53)</f>
        <v/>
      </c>
    </row>
    <row r="29">
      <c r="C29" s="1" t="inlineStr">
        <is>
          <t>Modules L</t>
        </is>
      </c>
      <c r="D29" s="2">
        <f>SUM(D30:D34)</f>
        <v/>
      </c>
    </row>
    <row r="30">
      <c r="C30" s="1" t="inlineStr">
        <is>
          <t>Modules L2</t>
        </is>
      </c>
      <c r="D30" s="2">
        <f>COUNTIF(Configure!B1:G1,2.03)</f>
        <v/>
      </c>
    </row>
    <row r="31">
      <c r="C31" s="1" t="inlineStr">
        <is>
          <t>Modules L2,5</t>
        </is>
      </c>
      <c r="D31" s="2">
        <f>COUNTIF(Configure!B1:G1,2.53)</f>
        <v/>
      </c>
    </row>
    <row r="32">
      <c r="C32" s="1" t="inlineStr">
        <is>
          <t>Modules L4</t>
        </is>
      </c>
      <c r="D32" s="2">
        <f>COUNTIF(Configure!B1:G1,4.06)</f>
        <v/>
      </c>
    </row>
    <row r="33">
      <c r="C33" s="1" t="inlineStr">
        <is>
          <t>Modules L5</t>
        </is>
      </c>
      <c r="D33" s="2">
        <f>COUNTIF(Configure!B1:G1,5.06)</f>
        <v/>
      </c>
    </row>
    <row r="34">
      <c r="C34" s="1" t="inlineStr">
        <is>
          <t>Modules L6</t>
        </is>
      </c>
      <c r="D34" s="2">
        <f>COUNTIF(Configure!B1:G1,6.09)</f>
        <v/>
      </c>
      <c r="E34" s="12" t="n"/>
    </row>
    <row r="35">
      <c r="C35" s="1" t="inlineStr">
        <is>
          <t>Modules</t>
        </is>
      </c>
      <c r="D35" s="2">
        <f>D29*D26</f>
        <v/>
      </c>
      <c r="E35" s="12" t="n"/>
    </row>
    <row r="36">
      <c r="E36" s="12" t="n"/>
    </row>
    <row r="37">
      <c r="C37" s="1" t="inlineStr">
        <is>
          <t>Wall material</t>
        </is>
      </c>
      <c r="D37" s="2">
        <f>_xlfn.IFNA(MATCH(Configure!B19,WOLIST,0)-1,0)</f>
        <v/>
      </c>
      <c r="E37" s="12" t="inlineStr">
        <is>
          <t>No wall = 0 / 2D Mesh = 1 / Thermowood = 2 / Glass = 3</t>
        </is>
      </c>
    </row>
    <row r="38">
      <c r="C38" s="1" t="inlineStr">
        <is>
          <t>2D Mesh finish</t>
        </is>
      </c>
      <c r="D38" s="2">
        <f>_xlfn.IFNA(MATCH(Configure!B20,MFLIST,0)-1,0)</f>
        <v/>
      </c>
      <c r="E38" s="12" t="inlineStr">
        <is>
          <t>No finish = 0 / RAL6005 = 1 / RAL7016 = 2 / RAL9005 = 3 / Galvanized = 4</t>
        </is>
      </c>
    </row>
    <row r="39">
      <c r="C39" s="1" t="inlineStr">
        <is>
          <t>Top Wall</t>
        </is>
      </c>
      <c r="D39" s="2">
        <f>IF(Configure!B21="Yes",1,0)</f>
        <v/>
      </c>
      <c r="E39" s="12" t="n"/>
    </row>
    <row r="40">
      <c r="C40" s="1" t="inlineStr">
        <is>
          <t>Right Wall</t>
        </is>
      </c>
      <c r="D40" s="2">
        <f>IF(Configure!B22="Yes",1,0)</f>
        <v/>
      </c>
      <c r="E40" s="12" t="n"/>
    </row>
    <row r="41">
      <c r="C41" s="1" t="inlineStr">
        <is>
          <t>Bottom Wall</t>
        </is>
      </c>
      <c r="D41" s="2">
        <f>IF(Configure!B23="Yes",1,0)</f>
        <v/>
      </c>
      <c r="E41" s="12" t="n"/>
    </row>
    <row r="42">
      <c r="C42" s="1" t="inlineStr">
        <is>
          <t>Left Wall</t>
        </is>
      </c>
      <c r="D42" s="2">
        <f>IF(Configure!B24="Yes",1,0)</f>
        <v/>
      </c>
      <c r="E42" s="12" t="n"/>
    </row>
    <row r="43">
      <c r="C43" s="1" t="inlineStr">
        <is>
          <t>Walls 2</t>
        </is>
      </c>
      <c r="D43" s="2">
        <f>($D$39+$D$41)*D30+($D$40+$D$42)*D27</f>
        <v/>
      </c>
      <c r="E43" s="12" t="n"/>
    </row>
    <row r="44">
      <c r="C44" s="1" t="inlineStr">
        <is>
          <t>Walls 2,5</t>
        </is>
      </c>
      <c r="D44" s="2">
        <f>($D$39+$D$41)*D31+($D$40+$D$42)*D28</f>
        <v/>
      </c>
      <c r="E44" s="12" t="n"/>
    </row>
    <row r="45">
      <c r="C45" s="1" t="inlineStr">
        <is>
          <t>Walls 4</t>
        </is>
      </c>
      <c r="D45" s="2">
        <f>($D$39+$D$41)*D32</f>
        <v/>
      </c>
      <c r="E45" s="12" t="n"/>
    </row>
    <row r="46">
      <c r="C46" s="1" t="inlineStr">
        <is>
          <t>Walls 5</t>
        </is>
      </c>
      <c r="D46" s="2">
        <f>($D$39+$D$41)*D33</f>
        <v/>
      </c>
      <c r="E46" s="12" t="n"/>
    </row>
    <row r="47">
      <c r="C47" s="1" t="inlineStr">
        <is>
          <t>Walls 6</t>
        </is>
      </c>
      <c r="D47" s="2">
        <f>($D$39+$D$41)*D34</f>
        <v/>
      </c>
      <c r="E47" s="12" t="n"/>
    </row>
    <row r="48">
      <c r="C48" s="1" t="inlineStr">
        <is>
          <t>Entrance 2</t>
        </is>
      </c>
      <c r="D48" s="2">
        <f>SUMIF(Configure!B28:B31,K3,Configure!C28:C31)</f>
        <v/>
      </c>
      <c r="E48" s="12" t="n"/>
    </row>
    <row r="49">
      <c r="C49" s="1" t="inlineStr">
        <is>
          <t>Entrance 2,5</t>
        </is>
      </c>
      <c r="D49" s="2">
        <f>SUMIF(Configure!B28:B31,K4,Configure!C28:C31)</f>
        <v/>
      </c>
      <c r="E49" s="12" t="n"/>
    </row>
    <row r="50">
      <c r="C50" s="1" t="inlineStr">
        <is>
          <t>Opening 2</t>
        </is>
      </c>
      <c r="D50" s="2">
        <f>SUMIFS(Configure!C28:C31,Configure!A28:A31,J3,Configure!B28:B31,K3)</f>
        <v/>
      </c>
      <c r="E50" s="12" t="n"/>
    </row>
    <row r="51">
      <c r="C51" s="1" t="inlineStr">
        <is>
          <t>Opening 2,5</t>
        </is>
      </c>
      <c r="D51" s="2">
        <f>SUMIFS(Configure!C28:C31,Configure!A28:A31,J3,Configure!B28:B31,K4)</f>
        <v/>
      </c>
      <c r="E51" s="12" t="n"/>
    </row>
    <row r="52">
      <c r="C52" s="1" t="inlineStr">
        <is>
          <t>Single Swing 2</t>
        </is>
      </c>
      <c r="D52" s="2">
        <f>SUMIFS(Configure!C28:C31,Configure!A28:A31,J4,Configure!B28:B31,K3)</f>
        <v/>
      </c>
      <c r="E52" s="12" t="n"/>
    </row>
    <row r="53">
      <c r="C53" s="1" t="inlineStr">
        <is>
          <t>Single Swing 2,5</t>
        </is>
      </c>
      <c r="D53" s="2">
        <f>SUMIFS(Configure!C28:C31,Configure!A28:A31,J4,Configure!B28:B31,K4)</f>
        <v/>
      </c>
      <c r="E53" s="12" t="n"/>
    </row>
    <row r="54">
      <c r="C54" s="1" t="inlineStr">
        <is>
          <t>Double Swing 2</t>
        </is>
      </c>
      <c r="D54" s="2">
        <f>SUMIFS(Configure!C28:C31,Configure!A28:A31,J5,Configure!B28:B31,K3)</f>
        <v/>
      </c>
      <c r="E54" s="12" t="n"/>
    </row>
    <row r="55">
      <c r="C55" s="1" t="inlineStr">
        <is>
          <t>Double Swing 2,5</t>
        </is>
      </c>
      <c r="D55" s="2">
        <f>SUMIFS(Configure!C28:C31,Configure!A28:A31,J5,Configure!B28:B31,K4)</f>
        <v/>
      </c>
      <c r="E55" s="12" t="n"/>
    </row>
    <row r="56">
      <c r="C56" s="1" t="inlineStr">
        <is>
          <t>Cladding</t>
        </is>
      </c>
      <c r="D56" s="2">
        <f>IF(Configure!B25="Yes",0,1)</f>
        <v/>
      </c>
      <c r="E56" s="12" t="inlineStr">
        <is>
          <t>No cladding = 0 / Cladding = 1</t>
        </is>
      </c>
    </row>
    <row r="57">
      <c r="C57" s="1" t="inlineStr">
        <is>
          <t>Hardware</t>
        </is>
      </c>
      <c r="D57" s="2">
        <f>_xlfn.IFNA(MATCH(Configure!A33,LFLIST,0)-1,0)</f>
        <v/>
      </c>
      <c r="E57" s="12" t="inlineStr">
        <is>
          <t>Euro cylinder lock = 1 / Mechanical code lock = 2 / Battery powered code lock = 3 /No lock or fittings = 4</t>
        </is>
      </c>
    </row>
    <row r="58">
      <c r="C58" s="1" t="inlineStr">
        <is>
          <t>Clamps Double</t>
        </is>
      </c>
      <c r="D58" s="2">
        <f>(D43+D44+D45*2+D46*2+D47*3+SUM(D39:D42))*(6+3*D18)*IF(D37=1,1,0)</f>
        <v/>
      </c>
      <c r="E58" s="12" t="n"/>
    </row>
    <row r="59">
      <c r="C59" s="1" t="inlineStr">
        <is>
          <t>Clamps Single</t>
        </is>
      </c>
      <c r="D59" s="2">
        <f>4*SUM(D52:D55)*(6+3*D18)*IF(D37=1,1,0)</f>
        <v/>
      </c>
      <c r="E59" s="12" t="n"/>
    </row>
    <row r="60">
      <c r="C60" s="1" t="inlineStr">
        <is>
          <t>Screws with wings</t>
        </is>
      </c>
      <c r="D60" s="2">
        <f>22*SUM(D52:D55)*(3+D18)*IF(D37=2,1,0)*D56</f>
        <v/>
      </c>
      <c r="E60" s="12" t="n"/>
    </row>
    <row r="61">
      <c r="C61" s="1" t="n"/>
      <c r="E61" s="12" t="n"/>
    </row>
    <row r="62">
      <c r="C62" s="1" t="inlineStr">
        <is>
          <t>Brace SHS 2</t>
        </is>
      </c>
      <c r="D62" s="2">
        <f t="array" ref="D62">(IF(Configure!A2=2.03,1,0)+IF(D26&gt;2,1,0)*IF(INDEX(Configure!A2:A13,MAX(D26,1))=2.03,1,0))*(D29+1-D42-D40)*D18*IF(OR(D37=2,D37=3),1,0)</f>
        <v/>
      </c>
      <c r="E62" s="12" t="n"/>
    </row>
    <row r="63">
      <c r="C63" s="1" t="inlineStr">
        <is>
          <t>Brace SHS 2,5</t>
        </is>
      </c>
      <c r="D63" s="2">
        <f t="array" ref="D63">(IF(Configure!A2=2.53,1,0)+IF(D26&gt;2,1,0)*IF(INDEX(Configure!A2:A13,MAX(D26,1))=2.53,1,0))*(D29+1-D42-D40)*D18*IF(OR(D37=2,D37=3),1,0)</f>
        <v/>
      </c>
      <c r="E63" s="12" t="n"/>
    </row>
    <row r="64">
      <c r="C64" s="1" t="inlineStr">
        <is>
          <t>Brace Flat 2</t>
        </is>
      </c>
      <c r="D64" s="2">
        <f t="array" ref="D64">(IF(Configure!A2=2.03,1,0)+IF(D26&gt;2,1,0)*IF(INDEX(Configure!A2:A13,MAX(D26,1))=2.03,1,0))*(2*D42+2*D40)*D18*IF(OR(D37=2,D37=3),1,0)</f>
        <v/>
      </c>
      <c r="E64" s="12" t="n"/>
    </row>
    <row r="65">
      <c r="C65" s="1" t="inlineStr">
        <is>
          <t>Brace Flat 2,5</t>
        </is>
      </c>
      <c r="D65" s="2">
        <f t="array" ref="D65">(IF(Configure!A2=2.53,1,0)+IF(D26&gt;2,1,0)*IF(INDEX(Configure!A2:A13,MAX(D26,1))=2.53,1,0))*(2*D42+2*D40)*D18*IF(OR(D37=2,D37=3),1,0)</f>
        <v/>
      </c>
      <c r="E65" s="12" t="n"/>
    </row>
    <row r="66">
      <c r="C66" s="1" t="n"/>
      <c r="E66" s="12" t="n"/>
    </row>
    <row r="67">
      <c r="C67" s="1" t="inlineStr">
        <is>
          <t>Install./transport</t>
        </is>
      </c>
      <c r="D67" s="2" t="n">
        <v>0</v>
      </c>
      <c r="E67" s="12" t="n"/>
    </row>
    <row r="68">
      <c r="C68" s="1" t="inlineStr">
        <is>
          <t>Adjustment factor</t>
        </is>
      </c>
      <c r="D68" s="2">
        <f>LOOKUP(D35,{0;1;2;3;5},{1;1;0.933;0.867;0.8})</f>
        <v/>
      </c>
      <c r="E68" s="12" t="n"/>
    </row>
    <row r="69">
      <c r="C69" s="65" t="inlineStr">
        <is>
          <t>Installation time</t>
        </is>
      </c>
      <c r="D69" s="199">
        <f>ROUND(List!$J$118*D68,2)+D70</f>
        <v/>
      </c>
      <c r="E69" s="12" t="inlineStr">
        <is>
          <t>Excl. transport</t>
        </is>
      </c>
      <c r="H69" s="79" t="n"/>
    </row>
    <row r="70">
      <c r="C70" s="1" t="inlineStr">
        <is>
          <t>Extra install. time</t>
        </is>
      </c>
      <c r="D70" s="199" t="n">
        <v>0</v>
      </c>
      <c r="E70" s="12" t="n"/>
      <c r="H70" s="79" t="n"/>
    </row>
    <row r="71">
      <c r="C71" s="65" t="inlineStr">
        <is>
          <t>Labor days</t>
        </is>
      </c>
      <c r="D71" s="200">
        <f>ROUNDUP(D69/(10.5-D73*2),0)</f>
        <v/>
      </c>
      <c r="E71" s="12" t="inlineStr">
        <is>
          <t>Incl. transport</t>
        </is>
      </c>
    </row>
    <row r="72">
      <c r="C72" s="65" t="inlineStr">
        <is>
          <t>Transport (total)</t>
        </is>
      </c>
      <c r="D72" s="199">
        <f>D73*ROUNDUP(D71/2,0)*4</f>
        <v/>
      </c>
      <c r="E72" s="12" t="n"/>
    </row>
    <row r="73">
      <c r="C73" s="65" t="inlineStr">
        <is>
          <t>Transport (one-way)</t>
        </is>
      </c>
      <c r="D73" s="199">
        <f>ROUND(D81/D82,2)</f>
        <v/>
      </c>
      <c r="E73" s="12" t="n"/>
    </row>
    <row r="74">
      <c r="C74" s="65" t="inlineStr">
        <is>
          <t>Distance (total)</t>
        </is>
      </c>
      <c r="D74" s="201">
        <f>ROUNDUP(D71/2,0)*D81*2</f>
        <v/>
      </c>
      <c r="E74" s="12" t="n"/>
    </row>
    <row r="75" ht="15.95" customHeight="1" thickBot="1">
      <c r="C75" s="1" t="n"/>
      <c r="E75" s="12" t="n"/>
    </row>
    <row r="76" ht="15.95" customHeight="1" thickBot="1">
      <c r="C76" s="184" t="inlineStr">
        <is>
          <t>4PL function</t>
        </is>
      </c>
      <c r="D76" s="202" t="n"/>
    </row>
    <row r="77">
      <c r="C77" s="64" t="inlineStr">
        <is>
          <t>Minimum</t>
        </is>
      </c>
      <c r="D77" s="203" t="n">
        <v>40</v>
      </c>
    </row>
    <row r="78">
      <c r="C78" s="62" t="inlineStr">
        <is>
          <t>Maximum</t>
        </is>
      </c>
      <c r="D78" s="204" t="n">
        <v>80</v>
      </c>
    </row>
    <row r="79">
      <c r="C79" s="62" t="inlineStr">
        <is>
          <t>Inflection</t>
        </is>
      </c>
      <c r="D79" s="204" t="n">
        <v>50</v>
      </c>
    </row>
    <row r="80" ht="15.95" customHeight="1" thickBot="1">
      <c r="C80" s="63" t="inlineStr">
        <is>
          <t>Slope</t>
        </is>
      </c>
      <c r="D80" s="69" t="n">
        <v>2.5</v>
      </c>
      <c r="H80" s="82" t="n"/>
    </row>
    <row r="81">
      <c r="C81" s="64" t="inlineStr">
        <is>
          <t>Distance (one-way)</t>
        </is>
      </c>
      <c r="D81" s="205">
        <f>'PRC import'!H46</f>
        <v/>
      </c>
      <c r="H81" s="82" t="n"/>
    </row>
    <row r="82" ht="15.95" customHeight="1" thickBot="1">
      <c r="C82" s="63" t="inlineStr">
        <is>
          <t>Average speed</t>
        </is>
      </c>
      <c r="D82" s="206">
        <f>ROUND(D77+(D78-D77)/(1+(1/POWER(MAX(D81,1)/D79,D80))),0)</f>
        <v/>
      </c>
      <c r="H82" s="82" t="n"/>
    </row>
    <row r="83" ht="15.95" customHeight="1" thickBot="1">
      <c r="D83" s="72" t="n"/>
      <c r="H83" s="82" t="n"/>
    </row>
    <row r="84" ht="15.95" customHeight="1" thickBot="1">
      <c r="C84" s="11" t="inlineStr">
        <is>
          <t>Error checking</t>
        </is>
      </c>
      <c r="D84" s="42" t="n"/>
      <c r="E84" s="43" t="n"/>
    </row>
    <row r="85">
      <c r="C85" s="152" t="inlineStr">
        <is>
          <t>Roof</t>
        </is>
      </c>
      <c r="E85" s="46">
        <f>IF(D85="?","B15: Roof material unknown","")</f>
        <v/>
      </c>
    </row>
    <row r="86">
      <c r="C86" s="152" t="inlineStr">
        <is>
          <t>Treatment</t>
        </is>
      </c>
      <c r="D86" s="2">
        <f>IF(Configure!B16="","?","")</f>
        <v/>
      </c>
      <c r="E86" s="46">
        <f>IF(D86="?","B16: Surface treatment unknown","")</f>
        <v/>
      </c>
    </row>
    <row r="87">
      <c r="C87" s="152" t="inlineStr">
        <is>
          <t>PLUS</t>
        </is>
      </c>
      <c r="D87" s="2">
        <f>IF(Configure!B17="","?","")</f>
        <v/>
      </c>
      <c r="E87" s="46">
        <f>IF(D87="?","B17: Version unknown","")</f>
        <v/>
      </c>
    </row>
    <row r="88">
      <c r="C88" s="152" t="inlineStr">
        <is>
          <t>Wall</t>
        </is>
      </c>
      <c r="D88" s="2">
        <f>IF(AND(SUM(D39:D42)&gt;0,D37=0),"?","")</f>
        <v/>
      </c>
      <c r="E88" s="46">
        <f>IF(D88="?","B19-B24: Walls require a material","")</f>
        <v/>
      </c>
    </row>
    <row r="89">
      <c r="C89" s="152" t="inlineStr">
        <is>
          <t>Finish</t>
        </is>
      </c>
      <c r="D89" s="2">
        <f>IF(AND(D38&gt;0,D37&lt;&gt;1),"?","")</f>
        <v/>
      </c>
      <c r="E89" s="46">
        <f>IF(D89="?","B19-B20: Finish requires mesh","")</f>
        <v/>
      </c>
    </row>
    <row r="90">
      <c r="C90" s="152" t="inlineStr">
        <is>
          <t>Mesh</t>
        </is>
      </c>
      <c r="D90" s="2">
        <f>IF(AND(D38=0,D37=1),"?","")</f>
        <v/>
      </c>
      <c r="E90" s="46">
        <f>IF(D90="?","B19-B20: Mesh requires finish","")</f>
        <v/>
      </c>
    </row>
    <row r="91">
      <c r="C91" s="152" t="inlineStr">
        <is>
          <t>Glass PLUS</t>
        </is>
      </c>
      <c r="D91" s="2">
        <f>IF(AND(D37=3,D18=1),"?","")</f>
        <v/>
      </c>
      <c r="E91" s="46">
        <f>IF(D91="?","B17/B19: Glass unavailable for PLUS version","")</f>
        <v/>
      </c>
    </row>
    <row r="92">
      <c r="C92" s="152" t="inlineStr">
        <is>
          <t>Glass gates</t>
        </is>
      </c>
      <c r="D92" s="2">
        <f>IF(AND(D37=3,SUM(D52:D55)&lt;&gt;0),"?","")</f>
        <v/>
      </c>
      <c r="E92" s="46">
        <f>IF(D92="?","B19/A28-A31: Glass unavailable for gates","")</f>
        <v/>
      </c>
    </row>
    <row r="93">
      <c r="C93" s="152" t="inlineStr">
        <is>
          <t>Open 2</t>
        </is>
      </c>
      <c r="D93" s="2">
        <f>IF(D48&gt;D43+2*D45+3*D47,"?","")</f>
        <v/>
      </c>
      <c r="E93" s="46">
        <f>IF(D93="?","A28-C31: Too many entrances 2m","")</f>
        <v/>
      </c>
    </row>
    <row r="94">
      <c r="C94" s="152" t="inlineStr">
        <is>
          <t>Open 2,5</t>
        </is>
      </c>
      <c r="D94" s="2">
        <f>IF(D49&gt;D44+2*D46,"?","")</f>
        <v/>
      </c>
      <c r="E94" s="46">
        <f>IF(D94="?","A28-C31: Too many entrances 2,5m","")</f>
        <v/>
      </c>
    </row>
    <row r="95">
      <c r="C95" s="152" t="inlineStr">
        <is>
          <t>Entrances</t>
        </is>
      </c>
      <c r="D95" s="2">
        <f>_xlfn.LET(
    _xlpm.RANGE1, Configure!A28:C28,
    _xlpm.RANGE2, Configure!A29:C29,
    _xlpm.RANGE3, Configure!A30:C30,
    _xlpm.RANGE4, Configure!A31:C31,
    IF(AND(
        OR(COUNTIFS(_xlpm.RANGE1, "&lt;&gt;", _xlpm.RANGE1, "&lt;&gt;0", _xlpm.RANGE1, "&lt;&gt; ")=0, COUNTIFS(_xlpm.RANGE1, "&lt;&gt;", _xlpm.RANGE1, "&lt;&gt;0", _xlpm.RANGE1, "&lt;&gt; ")=3),
        OR(COUNTIFS(_xlpm.RANGE2, "&lt;&gt;", _xlpm.RANGE2, "&lt;&gt;0", _xlpm.RANGE2, "&lt;&gt; ")=0, COUNTIFS(_xlpm.RANGE2, "&lt;&gt;", _xlpm.RANGE2, "&lt;&gt;0", _xlpm.RANGE2, "&lt;&gt; ")=3),
        OR(COUNTIFS(_xlpm.RANGE3, "&lt;&gt;", _xlpm.RANGE3, "&lt;&gt;0", _xlpm.RANGE3, "&lt;&gt; ")=0, COUNTIFS(_xlpm.RANGE3, "&lt;&gt;", _xlpm.RANGE3, "&lt;&gt;0", _xlpm.RANGE3, "&lt;&gt; ")=3),
        OR(COUNTIFS(_xlpm.RANGE4, "&lt;&gt;", _xlpm.RANGE4, "&lt;&gt;0", _xlpm.RANGE4, "&lt;&gt; ")=0, COUNTIFS(_xlpm.RANGE4, "&lt;&gt;", _xlpm.RANGE4, "&lt;&gt;0", _xlpm.RANGE4, "&lt;&gt; ")=3)
    ),
    "",
    "?")
)</f>
        <v/>
      </c>
      <c r="E95" s="46">
        <f>IF(D95="?","A28-C31: Entrances invalid","")</f>
        <v/>
      </c>
    </row>
    <row r="96">
      <c r="C96" s="152" t="inlineStr">
        <is>
          <t>Cladding</t>
        </is>
      </c>
      <c r="D96" s="2">
        <f>IF(AND(OR(D37=0,SUM(D39:D42)=0),D56=0),"?","")</f>
        <v/>
      </c>
      <c r="E96" s="46">
        <f>IF(D96="?","B25: No cladding to remove","")</f>
        <v/>
      </c>
    </row>
    <row r="97">
      <c r="C97" s="152" t="inlineStr">
        <is>
          <t>Hardware</t>
        </is>
      </c>
      <c r="D97" s="2">
        <f>IF(OR(AND(D57=0,SUM(D52:D55)&gt;0),AND(D57&gt;0,SUM(D52:D55)=0)),"?","")</f>
        <v/>
      </c>
      <c r="E97" s="46">
        <f>IF(D97="?","A33: Gate hardware invalid","")</f>
        <v/>
      </c>
    </row>
    <row r="98">
      <c r="C98" s="152" t="inlineStr">
        <is>
          <t>Config L</t>
        </is>
      </c>
      <c r="D98" s="2">
        <f>IF(OR(NOT(ISNUMBER(Configure!B1)),COUNTBLANK(Configure!B1:G1)&gt;0),"?","")</f>
        <v/>
      </c>
      <c r="E98" s="46">
        <f>IF(D98="?","B1-G1: Length direction invalid","")</f>
        <v/>
      </c>
    </row>
    <row r="99">
      <c r="C99" s="152" t="inlineStr">
        <is>
          <t>Config W</t>
        </is>
      </c>
      <c r="D99" s="2">
        <f>IF(OR(NOT(ISNUMBER(Configure!A2)),COUNTBLANK(Configure!A2:A13)&gt;0),"?","")</f>
        <v/>
      </c>
      <c r="E99" s="46">
        <f>IF(D99="?","A2-A13: Width direction invalid","")</f>
        <v/>
      </c>
    </row>
    <row r="100">
      <c r="C100" s="152" t="inlineStr">
        <is>
          <t>Length</t>
        </is>
      </c>
      <c r="D100" s="2">
        <f>IF(D10&gt;25.31,"?","")</f>
        <v/>
      </c>
      <c r="E100" s="46">
        <f>IF(D100="?","B1-G1: Shelter too long","")</f>
        <v/>
      </c>
    </row>
    <row r="101">
      <c r="C101" s="152" t="inlineStr">
        <is>
          <t>Polycarbonate</t>
        </is>
      </c>
      <c r="D101" s="2">
        <f>IF(AND(D14=1,D20=0),"?","")</f>
        <v/>
      </c>
      <c r="E101" s="46">
        <f>IF(D101="?","B15/B29: Polycarbonate roof requires beams","")</f>
        <v/>
      </c>
    </row>
    <row r="102">
      <c r="C102" s="152" t="inlineStr">
        <is>
          <t>LED</t>
        </is>
      </c>
      <c r="D102" s="2">
        <f>IF(AND(D19=1,D20=0),"?","")</f>
        <v/>
      </c>
      <c r="E102" s="46">
        <f>IF(D102="?","B28/B29: LED lighting requires beams","")</f>
        <v/>
      </c>
    </row>
    <row r="103">
      <c r="C103" s="152" t="inlineStr">
        <is>
          <t>Beams</t>
        </is>
      </c>
      <c r="D103" s="2">
        <f>IF(AND(D20=0,D26&gt;1,D28&gt;0,D34&gt;0),"?","")</f>
        <v/>
      </c>
      <c r="E103" s="46">
        <f>IF(D103="?","B29: Can't remove beams for module size 2,5x6m","")</f>
        <v/>
      </c>
    </row>
    <row r="104">
      <c r="C104" s="152" t="inlineStr">
        <is>
          <t>Transport</t>
        </is>
      </c>
      <c r="D104" s="2">
        <f>IF(AND(D67=1,D81=0),"?","")</f>
        <v/>
      </c>
      <c r="E104" s="46">
        <f>IF(D104="?","H13/H29: quote requires one-way distance","")</f>
        <v/>
      </c>
    </row>
    <row r="105" ht="15.95" customHeight="1" thickBot="1">
      <c r="C105" s="153" t="inlineStr">
        <is>
          <t>Check</t>
        </is>
      </c>
      <c r="D105" s="4">
        <f>IF(COUNTIF(D85:D104,"=?")&gt;0,"?","")</f>
        <v/>
      </c>
      <c r="E105" s="5" t="n"/>
    </row>
    <row r="106">
      <c r="C106" s="1" t="n"/>
      <c r="E106" s="12" t="n"/>
    </row>
    <row r="107">
      <c r="A107" s="2" t="inlineStr">
        <is>
          <t>Index</t>
        </is>
      </c>
      <c r="B107" s="2" t="inlineStr">
        <is>
          <t>Flag</t>
        </is>
      </c>
    </row>
    <row r="108">
      <c r="A108" s="2">
        <f>IF(B108&lt;&gt;"",SUM($B$108:B108),"")</f>
        <v/>
      </c>
      <c r="B108" s="2">
        <f>IF(C108&lt;&gt;"",1,"")</f>
        <v/>
      </c>
      <c r="C108" s="1">
        <f>Language!E2</f>
        <v/>
      </c>
      <c r="E108" s="12" t="n"/>
    </row>
    <row r="109">
      <c r="A109" s="2">
        <f>IF(B109&lt;&gt;"",SUM($B$108:B109),"")</f>
        <v/>
      </c>
      <c r="B109" s="2">
        <f>IF(C109&lt;&gt;"",1,"")</f>
        <v/>
      </c>
      <c r="C109" s="1">
        <f>IF(D14=0,Language!E6,Language!E7)</f>
        <v/>
      </c>
      <c r="E109" s="12" t="n"/>
    </row>
    <row r="110">
      <c r="A110" s="2">
        <f>IF(B110&lt;&gt;"",SUM($B$108:B110),"")</f>
        <v/>
      </c>
      <c r="B110" s="2">
        <f>IF(C110&lt;&gt;"",1,"")</f>
        <v/>
      </c>
      <c r="C110" s="1">
        <f t="array" ref="C110">_xlfn.SWITCH(D15,0,Language!E3,1,Language!E4,2,Language!E5)</f>
        <v/>
      </c>
      <c r="E110" s="12" t="n"/>
    </row>
    <row r="111">
      <c r="A111" s="2">
        <f>IF(B111&lt;&gt;"",SUM($B$108:B111),"")</f>
        <v/>
      </c>
      <c r="B111" s="2">
        <f>IF(C111&lt;&gt;"",1,"")</f>
        <v/>
      </c>
      <c r="C111" s="1">
        <f t="array" ref="C111">IF(SUM(D39:D42)&gt;0,_xlfn.SWITCH(D37,0,"",1,Language!E8,2,Language!E9,3,Language!E10),"")</f>
        <v/>
      </c>
      <c r="E111" s="12" t="n"/>
    </row>
    <row r="112">
      <c r="A112" s="2">
        <f>IF(B112&lt;&gt;"",SUM($B$108:B112),"")</f>
        <v/>
      </c>
      <c r="B112" s="2">
        <f>IF(C112&lt;&gt;"",1,"")</f>
        <v/>
      </c>
      <c r="C112" s="1">
        <f>IF(OR(D48&gt;0,D49&gt;0),Language!E11,"")</f>
        <v/>
      </c>
      <c r="E112" s="12" t="n"/>
    </row>
    <row r="113">
      <c r="A113" s="2">
        <f>IF(B113&lt;&gt;"",SUM($B$108:B113),"")</f>
        <v/>
      </c>
      <c r="B113" s="2">
        <f>IF(C113&lt;&gt;"",1,"")</f>
        <v/>
      </c>
      <c r="C113" s="1">
        <f>IF(D56=0,Language!E12,"")</f>
        <v/>
      </c>
      <c r="E113" s="12" t="n"/>
    </row>
    <row r="114">
      <c r="A114" s="2">
        <f>IF(B114&lt;&gt;"",SUM($B$108:B114),"")</f>
        <v/>
      </c>
      <c r="B114" s="2">
        <f>IF(C114&lt;&gt;"",1,"")</f>
        <v/>
      </c>
      <c r="C114" s="1">
        <f t="array" ref="C114">_xlfn.SWITCH(D57,0,"",1,Language!E13,2,Language!E14,3,Language!E15,4,Language!E16)</f>
        <v/>
      </c>
      <c r="E114" s="12" t="n"/>
    </row>
    <row r="115">
      <c r="A115" s="2">
        <f>IF(B115&lt;&gt;"",SUM($B$108:B115),"")</f>
        <v/>
      </c>
      <c r="B115" s="2">
        <f>IF(C115&lt;&gt;"",1,"")</f>
        <v/>
      </c>
      <c r="C115" s="1">
        <f>IF(D19=1,Language!E17,"")</f>
        <v/>
      </c>
      <c r="E115" s="12" t="n"/>
    </row>
    <row r="116">
      <c r="A116" s="2">
        <f>IF(B116&lt;&gt;"",SUM($B$108:B116),"")</f>
        <v/>
      </c>
      <c r="B116" s="2">
        <f>IF(C116&lt;&gt;"",1,"")</f>
        <v/>
      </c>
      <c r="C116" s="1">
        <f>IF(D21=1,Language!E18,"")</f>
        <v/>
      </c>
      <c r="E116" s="12" t="n"/>
    </row>
    <row r="117">
      <c r="A117" s="2">
        <f>IF(B117&lt;&gt;"",SUM($B$108:B117),"")</f>
        <v/>
      </c>
      <c r="B117" s="2">
        <f>IF(C117&lt;&gt;"",1,"")</f>
        <v/>
      </c>
      <c r="C117" s="1">
        <f>IF(D22=1,Language!E19,"")</f>
        <v/>
      </c>
      <c r="E117" s="12" t="n"/>
    </row>
    <row r="118">
      <c r="C118" s="1" t="n"/>
      <c r="E118" s="12" t="n"/>
    </row>
    <row r="119">
      <c r="A119" s="2" t="inlineStr">
        <is>
          <t>Index</t>
        </is>
      </c>
      <c r="C119" s="1" t="n"/>
      <c r="E119" s="12" t="n"/>
    </row>
    <row r="120">
      <c r="A120" s="2" t="n">
        <v>1</v>
      </c>
      <c r="C120" s="1" t="n"/>
      <c r="D120" s="1">
        <f>Language!E20</f>
        <v/>
      </c>
    </row>
    <row r="121">
      <c r="A121" s="2" t="n">
        <v>2</v>
      </c>
      <c r="C121" s="1" t="n"/>
      <c r="D121" s="1">
        <f>Language!E21</f>
        <v/>
      </c>
      <c r="E121" s="12" t="n"/>
    </row>
    <row r="122">
      <c r="A122" s="2">
        <f>IF($D$67=1,3,"")</f>
        <v/>
      </c>
      <c r="C122" s="1">
        <f>IF(D67=1,"B1","")</f>
        <v/>
      </c>
      <c r="D122" s="2" t="inlineStr">
        <is>
          <t>Installation</t>
        </is>
      </c>
      <c r="E122" s="12">
        <f>D69</f>
        <v/>
      </c>
      <c r="F122" s="2" t="inlineStr">
        <is>
          <t>u</t>
        </is>
      </c>
    </row>
    <row r="123">
      <c r="A123" s="2">
        <f>IF($D$67=1,4,"")</f>
        <v/>
      </c>
      <c r="C123" s="1">
        <f>IF(D67=1,"B6","")</f>
        <v/>
      </c>
      <c r="D123" s="2" t="inlineStr">
        <is>
          <t>Transport</t>
        </is>
      </c>
      <c r="E123" s="12">
        <f>D72</f>
        <v/>
      </c>
      <c r="F123" s="2" t="inlineStr">
        <is>
          <t>u</t>
        </is>
      </c>
    </row>
    <row r="124">
      <c r="A124" s="2">
        <f>IF($D$67=1,5,"")</f>
        <v/>
      </c>
      <c r="C124" s="1">
        <f>IF(D67=1,"42.06.10.0003","")</f>
        <v/>
      </c>
      <c r="D124" s="2" t="inlineStr">
        <is>
          <t>Vehicle cost</t>
        </is>
      </c>
      <c r="E124" s="12">
        <f>ROUNDUP(D71/2,0)</f>
        <v/>
      </c>
      <c r="F124" s="2" t="inlineStr">
        <is>
          <t>dag</t>
        </is>
      </c>
    </row>
    <row r="125">
      <c r="A125" s="2">
        <f>IF($D$67=1,6,"")</f>
        <v/>
      </c>
      <c r="C125" s="1">
        <f>IF(D67=1,"42.06.10.0004","")</f>
        <v/>
      </c>
      <c r="D125" s="2" t="inlineStr">
        <is>
          <t>Km cost</t>
        </is>
      </c>
      <c r="E125" s="12">
        <f>D74</f>
        <v/>
      </c>
      <c r="F125" s="2" t="inlineStr">
        <is>
          <t>km</t>
        </is>
      </c>
    </row>
    <row r="126">
      <c r="E126" s="12" t="n"/>
    </row>
    <row r="127">
      <c r="A127" s="2" t="inlineStr">
        <is>
          <t>Index</t>
        </is>
      </c>
      <c r="B127" s="2" t="inlineStr">
        <is>
          <t>Flag</t>
        </is>
      </c>
    </row>
    <row r="128">
      <c r="A128" s="2">
        <f>IF(B128&lt;&gt;"",SUM($B$128:B128),"")</f>
        <v/>
      </c>
      <c r="B128" s="2">
        <f>IF(C128&gt;0,1,"")</f>
        <v/>
      </c>
      <c r="C128" s="13" t="n"/>
      <c r="D128" s="14" t="inlineStr">
        <is>
          <t>Version</t>
        </is>
      </c>
      <c r="E128" s="14" t="inlineStr">
        <is>
          <t>Holes Ø9mm</t>
        </is>
      </c>
      <c r="F128" s="15" t="inlineStr">
        <is>
          <t>Treatment</t>
        </is>
      </c>
    </row>
    <row r="129">
      <c r="A129" s="2">
        <f>IF(B129&lt;&gt;"",SUM($B$128:B129),"")</f>
        <v/>
      </c>
      <c r="B129" s="2">
        <f>IF(C129&gt;0,1,"")</f>
        <v/>
      </c>
      <c r="C129" s="16" t="n"/>
      <c r="D129" s="2" t="n">
        <v>0</v>
      </c>
      <c r="E129" s="2" t="n">
        <v>1</v>
      </c>
      <c r="F129" s="17" t="n">
        <v>0</v>
      </c>
      <c r="G129" s="79" t="inlineStr">
        <is>
          <t>43.06.14.0043</t>
        </is>
      </c>
      <c r="H129" s="80" t="inlineStr">
        <is>
          <t>Domino - Column - 80x3 - L2175 - 8Ø13 - 8Ø9 - Galvanized</t>
        </is>
      </c>
    </row>
    <row r="130">
      <c r="A130" s="2">
        <f>IF(B130&lt;&gt;"",SUM($B$128:B130),"")</f>
        <v/>
      </c>
      <c r="B130" s="2">
        <f>IF(C130&gt;0,1,"")</f>
        <v/>
      </c>
      <c r="C130" s="16" t="n"/>
      <c r="D130" s="2" t="n">
        <v>0</v>
      </c>
      <c r="E130" s="2" t="n">
        <v>1</v>
      </c>
      <c r="F130" s="17" t="n">
        <v>1</v>
      </c>
      <c r="G130" s="79" t="inlineStr">
        <is>
          <t>43.06.14.0047</t>
        </is>
      </c>
      <c r="H130" s="80" t="inlineStr">
        <is>
          <t>Domino - Column - 80x3 - L2175 - 8Ø13 - 8Ø9 - Powder Coated</t>
        </is>
      </c>
    </row>
    <row r="131">
      <c r="A131" s="2">
        <f>IF(B131&lt;&gt;"",SUM($B$128:B131),"")</f>
        <v/>
      </c>
      <c r="B131" s="2">
        <f>IF(C131&gt;0,1,"")</f>
        <v/>
      </c>
      <c r="C131" s="16" t="n"/>
      <c r="D131" s="2" t="n">
        <v>0</v>
      </c>
      <c r="E131" s="2" t="n">
        <v>0</v>
      </c>
      <c r="F131" s="17" t="n">
        <v>0</v>
      </c>
      <c r="G131" s="79" t="inlineStr">
        <is>
          <t>43.06.14.0041</t>
        </is>
      </c>
      <c r="H131" s="80" t="inlineStr">
        <is>
          <t>Domino - Column - 80x3 - L2175 - 8Ø13 - Galvanized</t>
        </is>
      </c>
    </row>
    <row r="132">
      <c r="A132" s="2">
        <f>IF(B132&lt;&gt;"",SUM($B$128:B132),"")</f>
        <v/>
      </c>
      <c r="B132" s="2">
        <f>IF(C132&gt;0,1,"")</f>
        <v/>
      </c>
      <c r="C132" s="16" t="n"/>
      <c r="D132" s="2" t="n">
        <v>0</v>
      </c>
      <c r="E132" s="2" t="n">
        <v>0</v>
      </c>
      <c r="F132" s="17" t="n">
        <v>1</v>
      </c>
      <c r="G132" s="79" t="inlineStr">
        <is>
          <t>43.06.14.0045</t>
        </is>
      </c>
      <c r="H132" s="80" t="inlineStr">
        <is>
          <t>Domino - Column - 80x3 - L2175 - 8Ø13 - Powder Coated</t>
        </is>
      </c>
    </row>
    <row r="133">
      <c r="A133" s="2">
        <f>IF(B133&lt;&gt;"",SUM($B$128:B133),"")</f>
        <v/>
      </c>
      <c r="B133" s="2">
        <f>IF(C133&gt;0,1,"")</f>
        <v/>
      </c>
      <c r="C133" s="16" t="n"/>
      <c r="D133" s="2" t="n">
        <v>1</v>
      </c>
      <c r="E133" s="2" t="n">
        <v>1</v>
      </c>
      <c r="F133" s="17" t="n">
        <v>0</v>
      </c>
      <c r="G133" s="79" t="inlineStr">
        <is>
          <t>43.06.14.0044</t>
        </is>
      </c>
      <c r="H133" s="80" t="inlineStr">
        <is>
          <t>Domino - Column - 80x3 - L2825 - 8Ø13 - 16Ø9 - Galvanized</t>
        </is>
      </c>
    </row>
    <row r="134">
      <c r="A134" s="2">
        <f>IF(B134&lt;&gt;"",SUM($B$128:B134),"")</f>
        <v/>
      </c>
      <c r="B134" s="2">
        <f>IF(C134&gt;0,1,"")</f>
        <v/>
      </c>
      <c r="C134" s="16" t="n"/>
      <c r="D134" s="2" t="n">
        <v>1</v>
      </c>
      <c r="E134" s="2" t="n">
        <v>1</v>
      </c>
      <c r="F134" s="17" t="n">
        <v>1</v>
      </c>
      <c r="G134" s="79" t="inlineStr">
        <is>
          <t>43.06.14.0048</t>
        </is>
      </c>
      <c r="H134" s="80" t="inlineStr">
        <is>
          <t>Domino - Column - 80x3 - L2825 - 8Ø13 - 16Ø9 - Powder Coated</t>
        </is>
      </c>
    </row>
    <row r="135">
      <c r="A135" s="2">
        <f>IF(B135&lt;&gt;"",SUM($B$128:B135),"")</f>
        <v/>
      </c>
      <c r="B135" s="2">
        <f>IF(C135&gt;0,1,"")</f>
        <v/>
      </c>
      <c r="C135" s="16" t="n"/>
      <c r="D135" s="2" t="n">
        <v>1</v>
      </c>
      <c r="E135" s="2" t="n">
        <v>0</v>
      </c>
      <c r="F135" s="17" t="n">
        <v>0</v>
      </c>
      <c r="G135" s="79" t="inlineStr">
        <is>
          <t>43.06.14.0042</t>
        </is>
      </c>
      <c r="H135" s="80" t="inlineStr">
        <is>
          <t>Domino - Column - 80x3 - L2825 - 8Ø13 - Galvanized</t>
        </is>
      </c>
    </row>
    <row r="136">
      <c r="A136" s="2">
        <f>IF(B136&lt;&gt;"",SUM($B$128:B136),"")</f>
        <v/>
      </c>
      <c r="B136" s="2">
        <f>IF(C136&gt;0,1,"")</f>
        <v/>
      </c>
      <c r="C136" s="16" t="n"/>
      <c r="D136" s="2" t="n">
        <v>1</v>
      </c>
      <c r="E136" s="2" t="n">
        <v>0</v>
      </c>
      <c r="F136" s="17" t="n">
        <v>1</v>
      </c>
      <c r="G136" s="79" t="inlineStr">
        <is>
          <t>43.06.14.0046</t>
        </is>
      </c>
      <c r="H136" s="80" t="inlineStr">
        <is>
          <t>Domino - Column - 80x3 - L2825 - 8Ø13 - Powder Coated</t>
        </is>
      </c>
    </row>
    <row r="137">
      <c r="A137" s="2">
        <f>IF(B137&lt;&gt;"",SUM($B$128:B137),"")</f>
        <v/>
      </c>
      <c r="B137" s="2">
        <f>IF(C137&gt;0,1,"")</f>
        <v/>
      </c>
      <c r="C137" s="16" t="n"/>
      <c r="F137" s="17" t="n"/>
    </row>
    <row r="138">
      <c r="A138" s="2">
        <f>IF(B138&lt;&gt;"",SUM($B$128:B138),"")</f>
        <v/>
      </c>
      <c r="B138" s="2">
        <f>IF(C138&gt;0,1,"")</f>
        <v/>
      </c>
      <c r="C138" s="16" t="n"/>
      <c r="F138" s="17" t="n"/>
    </row>
    <row r="139">
      <c r="A139" s="2">
        <f>IF(B139&lt;&gt;"",SUM($B$128:B139),"")</f>
        <v/>
      </c>
      <c r="B139" s="2">
        <f>IF(C139&gt;0,1,"")</f>
        <v/>
      </c>
      <c r="C139" s="18">
        <f>(D26+1)*(D29+1)+D45+D46+D47*2</f>
        <v/>
      </c>
      <c r="D139" s="19">
        <f>$D$18</f>
        <v/>
      </c>
      <c r="E139" s="19">
        <f>IF(OR($D$37=2,$D$37=3),1,0)</f>
        <v/>
      </c>
      <c r="F139" s="20">
        <f>$D$17</f>
        <v/>
      </c>
      <c r="G139" s="79">
        <f t="array" ref="G139">INDEX($G$129:$G$136,_xlfn.XMATCH(D139&amp;E139&amp;F139,$D$129:$D$136&amp;$E$129:$E$136&amp;$F$129:$F$136,0))</f>
        <v/>
      </c>
      <c r="H139" s="80">
        <f>_xlfn.XLOOKUP(G139,G129:G136,H129:H136)</f>
        <v/>
      </c>
    </row>
    <row r="140">
      <c r="A140" s="2">
        <f>IF(B140&lt;&gt;"",SUM($B$128:B140),"")</f>
        <v/>
      </c>
      <c r="B140" s="2">
        <f>IF(C140&gt;0,1,"")</f>
        <v/>
      </c>
    </row>
    <row r="141">
      <c r="A141" s="2">
        <f>IF(B141&lt;&gt;"",SUM($B$128:B141),"")</f>
        <v/>
      </c>
      <c r="B141" s="2">
        <f>IF(C141&gt;0,1,"")</f>
        <v/>
      </c>
    </row>
    <row r="142">
      <c r="A142" s="2">
        <f>IF(B142&lt;&gt;"",SUM($B$128:B142),"")</f>
        <v/>
      </c>
      <c r="B142" s="2">
        <f>IF(C142&gt;0,1,"")</f>
        <v/>
      </c>
    </row>
    <row r="143">
      <c r="A143" s="2">
        <f>IF(B143&lt;&gt;"",SUM($B$128:B143),"")</f>
        <v/>
      </c>
      <c r="B143" s="2">
        <f>IF(C143&gt;0,1,"")</f>
        <v/>
      </c>
      <c r="C143" s="13" t="n"/>
      <c r="D143" s="14" t="n"/>
      <c r="E143" s="14" t="inlineStr">
        <is>
          <t>Type</t>
        </is>
      </c>
      <c r="F143" s="15" t="inlineStr">
        <is>
          <t>Treatment</t>
        </is>
      </c>
    </row>
    <row r="144">
      <c r="A144" s="2">
        <f>IF(B144&lt;&gt;"",SUM($B$128:B144),"")</f>
        <v/>
      </c>
      <c r="B144" s="2">
        <f>IF(C144&gt;0,1,"")</f>
        <v/>
      </c>
      <c r="C144" s="16" t="n"/>
      <c r="E144" s="2" t="inlineStr">
        <is>
          <t>A</t>
        </is>
      </c>
      <c r="F144" s="17" t="n">
        <v>0</v>
      </c>
      <c r="G144" s="79" t="inlineStr">
        <is>
          <t>43.09.06.0001</t>
        </is>
      </c>
      <c r="H144" s="80" t="inlineStr">
        <is>
          <t>Domino - Mof A - Galvanized</t>
        </is>
      </c>
    </row>
    <row r="145">
      <c r="A145" s="2">
        <f>IF(B145&lt;&gt;"",SUM($B$128:B145),"")</f>
        <v/>
      </c>
      <c r="B145" s="2">
        <f>IF(C145&gt;0,1,"")</f>
        <v/>
      </c>
      <c r="C145" s="16" t="n"/>
      <c r="E145" s="2" t="inlineStr">
        <is>
          <t>A</t>
        </is>
      </c>
      <c r="F145" s="17" t="n">
        <v>1</v>
      </c>
      <c r="G145" s="79" t="inlineStr">
        <is>
          <t>43.09.06.0006</t>
        </is>
      </c>
      <c r="H145" s="80" t="inlineStr">
        <is>
          <t>Domino - Mof A - Powder Coated</t>
        </is>
      </c>
    </row>
    <row r="146">
      <c r="A146" s="2">
        <f>IF(B146&lt;&gt;"",SUM($B$128:B146),"")</f>
        <v/>
      </c>
      <c r="B146" s="2">
        <f>IF(C146&gt;0,1,"")</f>
        <v/>
      </c>
      <c r="C146" s="16" t="n"/>
      <c r="E146" s="2" t="inlineStr">
        <is>
          <t>B</t>
        </is>
      </c>
      <c r="F146" s="17" t="n">
        <v>0</v>
      </c>
      <c r="G146" s="79" t="inlineStr">
        <is>
          <t>43.09.06.0002</t>
        </is>
      </c>
      <c r="H146" s="80" t="inlineStr">
        <is>
          <t>Domino - Mof B - Galvanized</t>
        </is>
      </c>
    </row>
    <row r="147">
      <c r="A147" s="2">
        <f>IF(B147&lt;&gt;"",SUM($B$128:B147),"")</f>
        <v/>
      </c>
      <c r="B147" s="2">
        <f>IF(C147&gt;0,1,"")</f>
        <v/>
      </c>
      <c r="C147" s="16" t="n"/>
      <c r="E147" s="2" t="inlineStr">
        <is>
          <t>B</t>
        </is>
      </c>
      <c r="F147" s="17" t="n">
        <v>1</v>
      </c>
      <c r="G147" s="79" t="inlineStr">
        <is>
          <t>43.09.06.0007</t>
        </is>
      </c>
      <c r="H147" s="80" t="inlineStr">
        <is>
          <t>Domino - Mof B - Powder Coated</t>
        </is>
      </c>
    </row>
    <row r="148">
      <c r="A148" s="2">
        <f>IF(B148&lt;&gt;"",SUM($B$128:B148),"")</f>
        <v/>
      </c>
      <c r="B148" s="2">
        <f>IF(C148&gt;0,1,"")</f>
        <v/>
      </c>
      <c r="C148" s="16" t="n"/>
      <c r="E148" s="2" t="inlineStr">
        <is>
          <t>C</t>
        </is>
      </c>
      <c r="F148" s="17" t="n">
        <v>0</v>
      </c>
      <c r="G148" s="79" t="inlineStr">
        <is>
          <t>43.09.06.0003</t>
        </is>
      </c>
      <c r="H148" s="80" t="inlineStr">
        <is>
          <t>Domino - Mof C - Galvanized</t>
        </is>
      </c>
    </row>
    <row r="149">
      <c r="A149" s="2">
        <f>IF(B149&lt;&gt;"",SUM($B$128:B149),"")</f>
        <v/>
      </c>
      <c r="B149" s="2">
        <f>IF(C149&gt;0,1,"")</f>
        <v/>
      </c>
      <c r="C149" s="16" t="n"/>
      <c r="E149" s="2" t="inlineStr">
        <is>
          <t>C</t>
        </is>
      </c>
      <c r="F149" s="17" t="n">
        <v>1</v>
      </c>
      <c r="G149" s="79" t="inlineStr">
        <is>
          <t>43.09.06.0008</t>
        </is>
      </c>
      <c r="H149" s="80" t="inlineStr">
        <is>
          <t>Domino - Mof C - Powder Coated</t>
        </is>
      </c>
    </row>
    <row r="150">
      <c r="A150" s="2">
        <f>IF(B150&lt;&gt;"",SUM($B$128:B150),"")</f>
        <v/>
      </c>
      <c r="B150" s="2">
        <f>IF(C150&gt;0,1,"")</f>
        <v/>
      </c>
      <c r="C150" s="16" t="n"/>
      <c r="E150" s="2" t="inlineStr">
        <is>
          <t>D</t>
        </is>
      </c>
      <c r="F150" s="17" t="n">
        <v>0</v>
      </c>
      <c r="G150" s="79" t="inlineStr">
        <is>
          <t>43.09.06.0005</t>
        </is>
      </c>
      <c r="H150" s="80" t="inlineStr">
        <is>
          <t>Domino - Mof D - Galvanized</t>
        </is>
      </c>
    </row>
    <row r="151">
      <c r="A151" s="2">
        <f>IF(B151&lt;&gt;"",SUM($B$128:B151),"")</f>
        <v/>
      </c>
      <c r="B151" s="2">
        <f>IF(C151&gt;0,1,"")</f>
        <v/>
      </c>
      <c r="C151" s="16" t="n"/>
      <c r="E151" s="2" t="inlineStr">
        <is>
          <t>D</t>
        </is>
      </c>
      <c r="F151" s="17" t="n">
        <v>1</v>
      </c>
      <c r="G151" s="79" t="inlineStr">
        <is>
          <t>43.09.06.0010</t>
        </is>
      </c>
      <c r="H151" s="80" t="inlineStr">
        <is>
          <t>Domino - Mof D - Powder Coated</t>
        </is>
      </c>
    </row>
    <row r="152">
      <c r="A152" s="2">
        <f>IF(B152&lt;&gt;"",SUM($B$128:B152),"")</f>
        <v/>
      </c>
      <c r="B152" s="2">
        <f>IF(C152&gt;0,1,"")</f>
        <v/>
      </c>
      <c r="C152" s="16" t="n"/>
      <c r="E152" s="2" t="inlineStr">
        <is>
          <t>W</t>
        </is>
      </c>
      <c r="F152" s="17" t="n">
        <v>0</v>
      </c>
      <c r="G152" s="79" t="inlineStr">
        <is>
          <t>43.09.06.0004</t>
        </is>
      </c>
      <c r="H152" s="80" t="inlineStr">
        <is>
          <t>Domino - Mof W - Galvanized</t>
        </is>
      </c>
    </row>
    <row r="153">
      <c r="A153" s="2">
        <f>IF(B153&lt;&gt;"",SUM($B$128:B153),"")</f>
        <v/>
      </c>
      <c r="B153" s="2">
        <f>IF(C153&gt;0,1,"")</f>
        <v/>
      </c>
      <c r="C153" s="16" t="n"/>
      <c r="E153" s="2" t="inlineStr">
        <is>
          <t>W</t>
        </is>
      </c>
      <c r="F153" s="17" t="n">
        <v>1</v>
      </c>
      <c r="G153" s="79" t="inlineStr">
        <is>
          <t>43.09.06.0009</t>
        </is>
      </c>
      <c r="H153" s="80" t="inlineStr">
        <is>
          <t>Domino - Mof W - Powder Coated</t>
        </is>
      </c>
    </row>
    <row r="154">
      <c r="A154" s="2">
        <f>IF(B154&lt;&gt;"",SUM($B$128:B154),"")</f>
        <v/>
      </c>
      <c r="B154" s="2">
        <f>IF(C154&gt;0,1,"")</f>
        <v/>
      </c>
      <c r="C154" s="16" t="n"/>
      <c r="F154" s="17" t="n"/>
    </row>
    <row r="155">
      <c r="A155" s="2">
        <f>IF(B155&lt;&gt;"",SUM($B$128:B155),"")</f>
        <v/>
      </c>
      <c r="B155" s="2">
        <f>IF(C155&gt;0,1,"")</f>
        <v/>
      </c>
      <c r="C155" s="16" t="n"/>
      <c r="F155" s="17" t="n"/>
    </row>
    <row r="156">
      <c r="A156" s="2">
        <f>IF(B156&lt;&gt;"",SUM($B$128:B156),"")</f>
        <v/>
      </c>
      <c r="B156" s="2">
        <f>IF(C156&gt;0,1,"")</f>
        <v/>
      </c>
      <c r="C156" s="16" t="n">
        <v>4</v>
      </c>
      <c r="E156" s="2" t="inlineStr">
        <is>
          <t>A</t>
        </is>
      </c>
      <c r="F156" s="17">
        <f>$D$16</f>
        <v/>
      </c>
      <c r="G156" s="79">
        <f t="array" ref="G156">INDEX($G$144:$G$153,_xlfn.XMATCH(E156&amp;F156,$E$144:$E$153&amp;$F$144:$F$153,0))</f>
        <v/>
      </c>
      <c r="H156" s="80">
        <f>_xlfn.XLOOKUP(G156,$G$144:$G$153,$H$144:$H$153)</f>
        <v/>
      </c>
    </row>
    <row r="157">
      <c r="A157" s="2">
        <f>IF(B157&lt;&gt;"",SUM($B$128:B157),"")</f>
        <v/>
      </c>
      <c r="B157" s="2">
        <f>IF(C157&gt;0,1,"")</f>
        <v/>
      </c>
      <c r="C157" s="16">
        <f>(D29-1)*2</f>
        <v/>
      </c>
      <c r="E157" s="2" t="inlineStr">
        <is>
          <t>B</t>
        </is>
      </c>
      <c r="F157" s="17">
        <f>$D$16</f>
        <v/>
      </c>
      <c r="G157" s="79">
        <f t="array" ref="G157">INDEX($G$144:$G$153,_xlfn.XMATCH(E157&amp;F157,$E$144:$E$153&amp;$F$144:$F$153,0))</f>
        <v/>
      </c>
      <c r="H157" s="80">
        <f>_xlfn.XLOOKUP(G157,$G$144:$G$153,$H$144:$H$153)</f>
        <v/>
      </c>
    </row>
    <row r="158">
      <c r="A158" s="2">
        <f>IF(B158&lt;&gt;"",SUM($B$128:B158),"")</f>
        <v/>
      </c>
      <c r="B158" s="2">
        <f>IF(C158&gt;0,1,"")</f>
        <v/>
      </c>
      <c r="C158" s="16">
        <f>(D26-1)*2</f>
        <v/>
      </c>
      <c r="E158" s="2" t="inlineStr">
        <is>
          <t>C</t>
        </is>
      </c>
      <c r="F158" s="17">
        <f>$D$16</f>
        <v/>
      </c>
      <c r="G158" s="79">
        <f t="array" ref="G158">INDEX($G$144:$G$153,_xlfn.XMATCH(E158&amp;F158,$E$144:$E$153&amp;$F$144:$F$153,0))</f>
        <v/>
      </c>
      <c r="H158" s="80">
        <f>_xlfn.XLOOKUP(G158,$G$144:$G$153,$H$144:$H$153)</f>
        <v/>
      </c>
    </row>
    <row r="159">
      <c r="A159" s="2">
        <f>IF(B159&lt;&gt;"",SUM($B$128:B159),"")</f>
        <v/>
      </c>
      <c r="B159" s="2">
        <f>IF(C159&gt;0,1,"")</f>
        <v/>
      </c>
      <c r="C159" s="16">
        <f>(D26-1)*(D29-1)</f>
        <v/>
      </c>
      <c r="E159" s="2" t="inlineStr">
        <is>
          <t>D</t>
        </is>
      </c>
      <c r="F159" s="17">
        <f>$D$17</f>
        <v/>
      </c>
      <c r="G159" s="79">
        <f t="array" ref="G159">INDEX($G$144:$G$153,_xlfn.XMATCH(E159&amp;F159,$E$144:$E$153&amp;$F$144:$F$153,0))</f>
        <v/>
      </c>
      <c r="H159" s="80">
        <f>_xlfn.XLOOKUP(G159,$G$144:$G$153,$H$144:$H$153)</f>
        <v/>
      </c>
    </row>
    <row r="160">
      <c r="A160" s="2">
        <f>IF(B160&lt;&gt;"",SUM($B$128:B160),"")</f>
        <v/>
      </c>
      <c r="B160" s="2">
        <f>IF(C160&gt;0,1,"")</f>
        <v/>
      </c>
      <c r="C160" s="18">
        <f>D45+D46+D47*2</f>
        <v/>
      </c>
      <c r="D160" s="19" t="n"/>
      <c r="E160" s="19" t="inlineStr">
        <is>
          <t>W</t>
        </is>
      </c>
      <c r="F160" s="20">
        <f>$D$17</f>
        <v/>
      </c>
      <c r="G160" s="79">
        <f t="array" ref="G160">INDEX($G$144:$G$153,_xlfn.XMATCH(E160&amp;F160,$E$144:$E$153&amp;$F$144:$F$153,0))</f>
        <v/>
      </c>
      <c r="H160" s="80">
        <f>_xlfn.XLOOKUP(G160,$G$144:$G$153,$H$144:$H$153)</f>
        <v/>
      </c>
    </row>
    <row r="161">
      <c r="A161" s="2">
        <f>IF(B161&lt;&gt;"",SUM($B$128:B161),"")</f>
        <v/>
      </c>
      <c r="B161" s="2">
        <f>IF(C161&gt;0,1,"")</f>
        <v/>
      </c>
    </row>
    <row r="162">
      <c r="A162" s="2">
        <f>IF(B162&lt;&gt;"",SUM($B$128:B162),"")</f>
        <v/>
      </c>
      <c r="B162" s="2">
        <f>IF(C162&gt;0,1,"")</f>
        <v/>
      </c>
    </row>
    <row r="163">
      <c r="A163" s="2">
        <f>IF(B163&lt;&gt;"",SUM($B$128:B163),"")</f>
        <v/>
      </c>
      <c r="B163" s="2">
        <f>IF(C163&gt;0,1,"")</f>
        <v/>
      </c>
    </row>
    <row r="164">
      <c r="A164" s="2">
        <f>IF(B164&lt;&gt;"",SUM($B$128:B164),"")</f>
        <v/>
      </c>
      <c r="B164" s="2">
        <f>IF(C164&gt;0,1,"")</f>
        <v/>
      </c>
      <c r="C164" s="13" t="n"/>
      <c r="D164" s="14" t="inlineStr">
        <is>
          <t>Type</t>
        </is>
      </c>
      <c r="E164" s="14" t="inlineStr">
        <is>
          <t>Outflow</t>
        </is>
      </c>
      <c r="F164" s="15" t="inlineStr">
        <is>
          <t>Treatment</t>
        </is>
      </c>
    </row>
    <row r="165">
      <c r="A165" s="2">
        <f>IF(B165&lt;&gt;"",SUM($B$128:B165),"")</f>
        <v/>
      </c>
      <c r="B165" s="2">
        <f>IF(C165&gt;0,1,"")</f>
        <v/>
      </c>
      <c r="C165" s="16" t="n"/>
      <c r="D165" s="2" t="inlineStr">
        <is>
          <t>70x4</t>
        </is>
      </c>
      <c r="E165" s="2" t="n">
        <v>0</v>
      </c>
      <c r="F165" s="17" t="n">
        <v>0</v>
      </c>
      <c r="G165" s="79" t="inlineStr">
        <is>
          <t>43.03.10.0002</t>
        </is>
      </c>
      <c r="H165" s="80" t="inlineStr">
        <is>
          <t>Domino - Foot - 70x4 - L605 - Galvanized</t>
        </is>
      </c>
    </row>
    <row r="166">
      <c r="A166" s="2">
        <f>IF(B166&lt;&gt;"",SUM($B$128:B166),"")</f>
        <v/>
      </c>
      <c r="B166" s="2">
        <f>IF(C166&gt;0,1,"")</f>
        <v/>
      </c>
      <c r="C166" s="16" t="n"/>
      <c r="D166" s="2" t="inlineStr">
        <is>
          <t>70x4</t>
        </is>
      </c>
      <c r="E166" s="2" t="n">
        <v>0</v>
      </c>
      <c r="F166" s="17" t="n">
        <v>1</v>
      </c>
      <c r="G166" s="79" t="inlineStr">
        <is>
          <t>43.03.10.0005</t>
        </is>
      </c>
      <c r="H166" s="80" t="inlineStr">
        <is>
          <t>Domino - Foot - 70x4 - L605 - Powder Coated</t>
        </is>
      </c>
    </row>
    <row r="167">
      <c r="A167" s="2">
        <f>IF(B167&lt;&gt;"",SUM($B$128:B167),"")</f>
        <v/>
      </c>
      <c r="B167" s="2">
        <f>IF(C167&gt;0,1,"")</f>
        <v/>
      </c>
      <c r="C167" s="16" t="n"/>
      <c r="D167" s="2" t="inlineStr">
        <is>
          <t>70x4</t>
        </is>
      </c>
      <c r="E167" s="2" t="n">
        <v>1</v>
      </c>
      <c r="F167" s="17" t="n">
        <v>0</v>
      </c>
      <c r="G167" s="79" t="inlineStr">
        <is>
          <t>43.03.10.0001</t>
        </is>
      </c>
      <c r="H167" s="80" t="inlineStr">
        <is>
          <t>Domino - Foot - 70x4 - L605 - Outflow - Galvanized</t>
        </is>
      </c>
    </row>
    <row r="168">
      <c r="A168" s="2">
        <f>IF(B168&lt;&gt;"",SUM($B$128:B168),"")</f>
        <v/>
      </c>
      <c r="B168" s="2">
        <f>IF(C168&gt;0,1,"")</f>
        <v/>
      </c>
      <c r="C168" s="16" t="n"/>
      <c r="D168" s="2" t="inlineStr">
        <is>
          <t>70x4</t>
        </is>
      </c>
      <c r="E168" s="2" t="n">
        <v>1</v>
      </c>
      <c r="F168" s="17" t="n">
        <v>1</v>
      </c>
      <c r="G168" s="79" t="inlineStr">
        <is>
          <t>43.03.10.0004</t>
        </is>
      </c>
      <c r="H168" s="80" t="inlineStr">
        <is>
          <t>Domino - Foot - 70x4 - L605 - Outflow - Powder Coated</t>
        </is>
      </c>
    </row>
    <row r="169">
      <c r="A169" s="2">
        <f>IF(B169&lt;&gt;"",SUM($B$128:B169),"")</f>
        <v/>
      </c>
      <c r="B169" s="2">
        <f>IF(C169&gt;0,1,"")</f>
        <v/>
      </c>
      <c r="C169" s="16" t="n"/>
      <c r="D169" s="2" t="inlineStr">
        <is>
          <t>70x50x3</t>
        </is>
      </c>
      <c r="E169" s="2" t="n">
        <v>0</v>
      </c>
      <c r="F169" s="17" t="n">
        <v>0</v>
      </c>
      <c r="G169" s="79" t="inlineStr">
        <is>
          <t>43.03.10.0003</t>
        </is>
      </c>
      <c r="H169" s="79" t="inlineStr">
        <is>
          <t>Domino - Foot 70x50x3 - L600 - Galvanized</t>
        </is>
      </c>
    </row>
    <row r="170">
      <c r="A170" s="2">
        <f>IF(B170&lt;&gt;"",SUM($B$128:B170),"")</f>
        <v/>
      </c>
      <c r="B170" s="2">
        <f>IF(C170&gt;0,1,"")</f>
        <v/>
      </c>
      <c r="C170" s="16" t="n"/>
      <c r="D170" s="2" t="inlineStr">
        <is>
          <t>70x50x3</t>
        </is>
      </c>
      <c r="E170" s="2" t="n">
        <v>0</v>
      </c>
      <c r="F170" s="17" t="n">
        <v>1</v>
      </c>
      <c r="G170" s="79" t="inlineStr">
        <is>
          <t>43.03.10.0006</t>
        </is>
      </c>
      <c r="H170" s="79" t="inlineStr">
        <is>
          <t>Domino - Foot 70x50x3 - L600 - Powder coated</t>
        </is>
      </c>
    </row>
    <row r="171">
      <c r="A171" s="2">
        <f>IF(B171&lt;&gt;"",SUM($B$128:B171),"")</f>
        <v/>
      </c>
      <c r="B171" s="2">
        <f>IF(C171&gt;0,1,"")</f>
        <v/>
      </c>
      <c r="C171" s="16" t="n"/>
      <c r="F171" s="17" t="n"/>
    </row>
    <row r="172">
      <c r="A172" s="2">
        <f>IF(B172&lt;&gt;"",SUM($B$128:B172),"")</f>
        <v/>
      </c>
      <c r="B172" s="2">
        <f>IF(C172&gt;0,1,"")</f>
        <v/>
      </c>
      <c r="C172" s="16" t="n"/>
      <c r="F172" s="17" t="n"/>
    </row>
    <row r="173">
      <c r="A173" s="2">
        <f>IF(B173&lt;&gt;"",SUM($B$128:B173),"")</f>
        <v/>
      </c>
      <c r="B173" s="2">
        <f>IF(C173&gt;0,1,"")</f>
        <v/>
      </c>
      <c r="C173" s="16">
        <f>(D29-1)*(D26+1)+D45+D46+D47*2</f>
        <v/>
      </c>
      <c r="D173" s="2" t="inlineStr">
        <is>
          <t>70x4</t>
        </is>
      </c>
      <c r="E173" s="2" t="n">
        <v>0</v>
      </c>
      <c r="F173" s="17">
        <f>$D$17</f>
        <v/>
      </c>
      <c r="G173" s="79">
        <f t="array" ref="G173">INDEX($G$165:$G$170,_xlfn.XMATCH(D173&amp;E173&amp;F173,$D$165:$D$170&amp;$E$165:$E$170&amp;$F$165:$F$170,0))</f>
        <v/>
      </c>
      <c r="H173" s="80">
        <f>_xlfn.XLOOKUP(G173,$G$165:$G$170,$H$165:$H$170)</f>
        <v/>
      </c>
    </row>
    <row r="174">
      <c r="A174" s="2">
        <f>IF(B174&lt;&gt;"",SUM($B$128:B174),"")</f>
        <v/>
      </c>
      <c r="B174" s="2">
        <f>IF(C174&gt;0,1,"")</f>
        <v/>
      </c>
      <c r="C174" s="16">
        <f>(D26+1)*2</f>
        <v/>
      </c>
      <c r="D174" s="2" t="inlineStr">
        <is>
          <t>70x4</t>
        </is>
      </c>
      <c r="E174" s="2" t="n">
        <v>1</v>
      </c>
      <c r="F174" s="17">
        <f>$D$17</f>
        <v/>
      </c>
      <c r="G174" s="79">
        <f t="array" ref="G174">INDEX($G$165:$G$170,_xlfn.XMATCH(D174&amp;E174&amp;F174,$D$165:$D$170&amp;$E$165:$E$170&amp;$F$165:$F$170,0))</f>
        <v/>
      </c>
      <c r="H174" s="80">
        <f>_xlfn.XLOOKUP(G174,$G$165:$G$170,$H$165:$H$170)</f>
        <v/>
      </c>
    </row>
    <row r="175">
      <c r="A175" s="2">
        <f>IF(B175&lt;&gt;"",SUM($B$128:B175),"")</f>
        <v/>
      </c>
      <c r="B175" s="2">
        <f>IF(C175&gt;0,1,"")</f>
        <v/>
      </c>
      <c r="C175" s="18">
        <f>(D52+D53)*2</f>
        <v/>
      </c>
      <c r="D175" s="19" t="inlineStr">
        <is>
          <t>70x50x3</t>
        </is>
      </c>
      <c r="E175" s="19" t="n">
        <v>0</v>
      </c>
      <c r="F175" s="20">
        <f>$D$17</f>
        <v/>
      </c>
      <c r="G175" s="79">
        <f t="array" ref="G175">INDEX($G$165:$G$170,_xlfn.XMATCH(D175&amp;E175&amp;F175,$D$165:$D$170&amp;$E$165:$E$170&amp;$F$165:$F$170,0))</f>
        <v/>
      </c>
      <c r="H175" s="80">
        <f>_xlfn.XLOOKUP(G175,$G$165:$G$170,$H$165:$H$170)</f>
        <v/>
      </c>
    </row>
    <row r="176">
      <c r="A176" s="2">
        <f>IF(B176&lt;&gt;"",SUM($B$128:B176),"")</f>
        <v/>
      </c>
      <c r="B176" s="2">
        <f>IF(C176&gt;0,1,"")</f>
        <v/>
      </c>
    </row>
    <row r="177">
      <c r="A177" s="2">
        <f>IF(B177&lt;&gt;"",SUM($B$128:B177),"")</f>
        <v/>
      </c>
      <c r="B177" s="2">
        <f>IF(C177&gt;0,1,"")</f>
        <v/>
      </c>
    </row>
    <row r="178">
      <c r="A178" s="2">
        <f>IF(B178&lt;&gt;"",SUM($B$128:B178),"")</f>
        <v/>
      </c>
      <c r="B178" s="2">
        <f>IF(C178&gt;0,1,"")</f>
        <v/>
      </c>
    </row>
    <row r="179">
      <c r="A179" s="2">
        <f>IF(B179&lt;&gt;"",SUM($B$128:B179),"")</f>
        <v/>
      </c>
      <c r="B179" s="2">
        <f>IF(C179&gt;0,1,"")</f>
        <v/>
      </c>
    </row>
    <row r="180">
      <c r="A180" s="2">
        <f>IF(B180&lt;&gt;"",SUM($B$128:B180),"")</f>
        <v/>
      </c>
      <c r="B180" s="2">
        <f>IF(C180&gt;0,1,"")</f>
        <v/>
      </c>
      <c r="C180" s="13" t="n"/>
      <c r="D180" s="14" t="inlineStr">
        <is>
          <t>Type</t>
        </is>
      </c>
      <c r="E180" s="14" t="inlineStr">
        <is>
          <t>L</t>
        </is>
      </c>
      <c r="F180" s="15" t="inlineStr">
        <is>
          <t>Treatment</t>
        </is>
      </c>
    </row>
    <row r="181">
      <c r="A181" s="2">
        <f>IF(B181&lt;&gt;"",SUM($B$128:B181),"")</f>
        <v/>
      </c>
      <c r="B181" s="2">
        <f>IF(C181&gt;0,1,"")</f>
        <v/>
      </c>
      <c r="C181" s="16" t="n"/>
      <c r="D181" s="2" t="inlineStr">
        <is>
          <t>W</t>
        </is>
      </c>
      <c r="E181" s="2" t="n">
        <v>2.03</v>
      </c>
      <c r="F181" s="17" t="n">
        <v>0</v>
      </c>
      <c r="G181" s="79" t="inlineStr">
        <is>
          <t>37.60.06.0061</t>
        </is>
      </c>
      <c r="H181" s="80" t="inlineStr">
        <is>
          <t>Domino - Gutter G - L1890 - 6Ø13 - Cut 3 - Galvanized</t>
        </is>
      </c>
    </row>
    <row r="182">
      <c r="A182" s="2">
        <f>IF(B182&lt;&gt;"",SUM($B$128:B182),"")</f>
        <v/>
      </c>
      <c r="B182" s="2">
        <f>IF(C182&gt;0,1,"")</f>
        <v/>
      </c>
      <c r="C182" s="16" t="n"/>
      <c r="D182" s="2" t="inlineStr">
        <is>
          <t>W</t>
        </is>
      </c>
      <c r="E182" s="2" t="n">
        <v>2.03</v>
      </c>
      <c r="F182" s="17" t="n">
        <v>1</v>
      </c>
      <c r="G182" s="79" t="inlineStr">
        <is>
          <t>43.08.18.0011</t>
        </is>
      </c>
      <c r="H182" s="80" t="inlineStr">
        <is>
          <t>Domino - Gutter G - L1890 - 6Ø13 - Cut 3 - Powder Coated</t>
        </is>
      </c>
    </row>
    <row r="183">
      <c r="A183" s="2">
        <f>IF(B183&lt;&gt;"",SUM($B$128:B183),"")</f>
        <v/>
      </c>
      <c r="B183" s="2">
        <f>IF(C183&gt;0,1,"")</f>
        <v/>
      </c>
      <c r="C183" s="16" t="n"/>
      <c r="D183" s="2" t="inlineStr">
        <is>
          <t>L</t>
        </is>
      </c>
      <c r="E183" s="2" t="n">
        <v>2.03</v>
      </c>
      <c r="F183" s="17" t="n">
        <v>0</v>
      </c>
      <c r="G183" s="79" t="inlineStr">
        <is>
          <t>37.60.06.0160</t>
        </is>
      </c>
      <c r="H183" s="80" t="inlineStr">
        <is>
          <t>Domino - Gutter G - L1890 - 7Ø13 - Galvanized</t>
        </is>
      </c>
    </row>
    <row r="184">
      <c r="A184" s="2">
        <f>IF(B184&lt;&gt;"",SUM($B$128:B184),"")</f>
        <v/>
      </c>
      <c r="B184" s="2">
        <f>IF(C184&gt;0,1,"")</f>
        <v/>
      </c>
      <c r="C184" s="16" t="n"/>
      <c r="D184" s="2" t="inlineStr">
        <is>
          <t>L</t>
        </is>
      </c>
      <c r="E184" s="2" t="n">
        <v>2.03</v>
      </c>
      <c r="F184" s="17" t="n">
        <v>1</v>
      </c>
      <c r="G184" s="79" t="inlineStr">
        <is>
          <t>43.08.18.0021</t>
        </is>
      </c>
      <c r="H184" s="80" t="inlineStr">
        <is>
          <t>Domino - Gutter G - L1890 - 7Ø13 - Powder Coated</t>
        </is>
      </c>
    </row>
    <row r="185">
      <c r="A185" s="2">
        <f>IF(B185&lt;&gt;"",SUM($B$128:B185),"")</f>
        <v/>
      </c>
      <c r="B185" s="2">
        <f>IF(C185&gt;0,1,"")</f>
        <v/>
      </c>
      <c r="C185" s="16" t="n"/>
      <c r="D185" s="2" t="inlineStr">
        <is>
          <t>W</t>
        </is>
      </c>
      <c r="E185" s="2" t="n">
        <v>2.53</v>
      </c>
      <c r="F185" s="17" t="n">
        <v>0</v>
      </c>
      <c r="G185" s="79" t="inlineStr">
        <is>
          <t>37.60.06.0161</t>
        </is>
      </c>
      <c r="H185" s="80" t="inlineStr">
        <is>
          <t>Domino - Gutter G - L2390 - 6Ø13 - Cut 3 - Galvanized</t>
        </is>
      </c>
    </row>
    <row r="186">
      <c r="A186" s="2">
        <f>IF(B186&lt;&gt;"",SUM($B$128:B186),"")</f>
        <v/>
      </c>
      <c r="B186" s="2">
        <f>IF(C186&gt;0,1,"")</f>
        <v/>
      </c>
      <c r="C186" s="16" t="n"/>
      <c r="D186" s="2" t="inlineStr">
        <is>
          <t>W</t>
        </is>
      </c>
      <c r="E186" s="2" t="n">
        <v>2.53</v>
      </c>
      <c r="F186" s="17" t="n">
        <v>1</v>
      </c>
      <c r="G186" s="79" t="inlineStr">
        <is>
          <t>43.08.18.0022</t>
        </is>
      </c>
      <c r="H186" s="80" t="inlineStr">
        <is>
          <t>Domino - Gutter G - L2390 - 6Ø13 - Cut 3 - Powder Coated</t>
        </is>
      </c>
    </row>
    <row r="187">
      <c r="A187" s="2">
        <f>IF(B187&lt;&gt;"",SUM($B$128:B187),"")</f>
        <v/>
      </c>
      <c r="B187" s="2">
        <f>IF(C187&gt;0,1,"")</f>
        <v/>
      </c>
      <c r="C187" s="16" t="n"/>
      <c r="D187" s="2" t="inlineStr">
        <is>
          <t>L</t>
        </is>
      </c>
      <c r="E187" s="2" t="n">
        <v>2.53</v>
      </c>
      <c r="F187" s="17" t="n">
        <v>0</v>
      </c>
      <c r="G187" s="79" t="inlineStr">
        <is>
          <t>37.60.06.0162</t>
        </is>
      </c>
      <c r="H187" s="80" t="inlineStr">
        <is>
          <t>Domino - Gutter G - L2390 - 7Ø13 - Galvanized</t>
        </is>
      </c>
    </row>
    <row r="188">
      <c r="A188" s="2">
        <f>IF(B188&lt;&gt;"",SUM($B$128:B188),"")</f>
        <v/>
      </c>
      <c r="B188" s="2">
        <f>IF(C188&gt;0,1,"")</f>
        <v/>
      </c>
      <c r="C188" s="16" t="n"/>
      <c r="D188" s="2" t="inlineStr">
        <is>
          <t>L</t>
        </is>
      </c>
      <c r="E188" s="2" t="n">
        <v>2.53</v>
      </c>
      <c r="F188" s="17" t="n">
        <v>1</v>
      </c>
      <c r="G188" s="79" t="inlineStr">
        <is>
          <t>43.08.18.0023</t>
        </is>
      </c>
      <c r="H188" s="80" t="inlineStr">
        <is>
          <t>Domino - Gutter G - L2390 - 7Ø13 - Powder Coated</t>
        </is>
      </c>
    </row>
    <row r="189">
      <c r="A189" s="2">
        <f>IF(B189&lt;&gt;"",SUM($B$128:B189),"")</f>
        <v/>
      </c>
      <c r="B189" s="2">
        <f>IF(C189&gt;0,1,"")</f>
        <v/>
      </c>
      <c r="C189" s="16" t="n"/>
      <c r="D189" s="2" t="inlineStr">
        <is>
          <t>L</t>
        </is>
      </c>
      <c r="E189" s="2" t="n">
        <v>4.06</v>
      </c>
      <c r="F189" s="17" t="n">
        <v>0</v>
      </c>
      <c r="G189" s="79" t="inlineStr">
        <is>
          <t>37.60.06.0058</t>
        </is>
      </c>
      <c r="H189" s="80" t="inlineStr">
        <is>
          <t>Domino - Gutter G - L3920 - 9Ø13 - Galvanized</t>
        </is>
      </c>
    </row>
    <row r="190">
      <c r="A190" s="2">
        <f>IF(B190&lt;&gt;"",SUM($B$128:B190),"")</f>
        <v/>
      </c>
      <c r="B190" s="2">
        <f>IF(C190&gt;0,1,"")</f>
        <v/>
      </c>
      <c r="C190" s="16" t="n"/>
      <c r="D190" s="2" t="inlineStr">
        <is>
          <t>L</t>
        </is>
      </c>
      <c r="E190" s="2" t="n">
        <v>4.06</v>
      </c>
      <c r="F190" s="17" t="n">
        <v>1</v>
      </c>
      <c r="G190" s="79" t="inlineStr">
        <is>
          <t>43.08.18.0008</t>
        </is>
      </c>
      <c r="H190" s="80" t="inlineStr">
        <is>
          <t>Domino - Gutter G - L3920 - 9Ø13 - Powder Coated</t>
        </is>
      </c>
    </row>
    <row r="191">
      <c r="A191" s="2">
        <f>IF(B191&lt;&gt;"",SUM($B$128:B191),"")</f>
        <v/>
      </c>
      <c r="B191" s="2">
        <f>IF(C191&gt;0,1,"")</f>
        <v/>
      </c>
      <c r="C191" s="16" t="n"/>
      <c r="D191" s="2" t="inlineStr">
        <is>
          <t>L</t>
        </is>
      </c>
      <c r="E191" s="2" t="n">
        <v>5.06</v>
      </c>
      <c r="F191" s="17" t="n">
        <v>0</v>
      </c>
      <c r="G191" s="79" t="inlineStr">
        <is>
          <t>37.60.06.0059</t>
        </is>
      </c>
      <c r="H191" s="80" t="inlineStr">
        <is>
          <t>Domino - Gutter G - L4920 - 9Ø13 - Galvanized</t>
        </is>
      </c>
    </row>
    <row r="192">
      <c r="A192" s="2">
        <f>IF(B192&lt;&gt;"",SUM($B$128:B192),"")</f>
        <v/>
      </c>
      <c r="B192" s="2">
        <f>IF(C192&gt;0,1,"")</f>
        <v/>
      </c>
      <c r="C192" s="16" t="n"/>
      <c r="D192" s="2" t="inlineStr">
        <is>
          <t>L</t>
        </is>
      </c>
      <c r="E192" s="2" t="n">
        <v>5.06</v>
      </c>
      <c r="F192" s="17" t="n">
        <v>1</v>
      </c>
      <c r="G192" s="79" t="inlineStr">
        <is>
          <t>43.08.18.0009</t>
        </is>
      </c>
      <c r="H192" s="80" t="inlineStr">
        <is>
          <t>Domino - Gutter G - L4920 - 9Ø13 - Powder Coated</t>
        </is>
      </c>
    </row>
    <row r="193">
      <c r="A193" s="2">
        <f>IF(B193&lt;&gt;"",SUM($B$128:B193),"")</f>
        <v/>
      </c>
      <c r="B193" s="2">
        <f>IF(C193&gt;0,1,"")</f>
        <v/>
      </c>
      <c r="C193" s="16" t="n"/>
      <c r="D193" s="2" t="inlineStr">
        <is>
          <t>L</t>
        </is>
      </c>
      <c r="E193" s="2" t="n">
        <v>6.09</v>
      </c>
      <c r="F193" s="17" t="n">
        <v>0</v>
      </c>
      <c r="G193" s="79" t="inlineStr">
        <is>
          <t>37.60.06.0060</t>
        </is>
      </c>
      <c r="H193" s="80" t="inlineStr">
        <is>
          <t>Domino - Gutter G - L5950 - 10Ø13 - Galvanized</t>
        </is>
      </c>
    </row>
    <row r="194">
      <c r="A194" s="2">
        <f>IF(B194&lt;&gt;"",SUM($B$128:B194),"")</f>
        <v/>
      </c>
      <c r="B194" s="2">
        <f>IF(C194&gt;0,1,"")</f>
        <v/>
      </c>
      <c r="C194" s="16" t="n"/>
      <c r="D194" s="2" t="inlineStr">
        <is>
          <t>L</t>
        </is>
      </c>
      <c r="E194" s="2" t="n">
        <v>6.09</v>
      </c>
      <c r="F194" s="17" t="n">
        <v>1</v>
      </c>
      <c r="G194" s="79" t="inlineStr">
        <is>
          <t>43.08.18.0010</t>
        </is>
      </c>
      <c r="H194" s="80" t="inlineStr">
        <is>
          <t>Domino - Gutter G - L5950 - 10Ø13 - Powder Coated</t>
        </is>
      </c>
    </row>
    <row r="195">
      <c r="A195" s="2">
        <f>IF(B195&lt;&gt;"",SUM($B$128:B195),"")</f>
        <v/>
      </c>
      <c r="B195" s="2">
        <f>IF(C195&gt;0,1,"")</f>
        <v/>
      </c>
      <c r="C195" s="16" t="n"/>
      <c r="F195" s="17" t="n"/>
    </row>
    <row r="196">
      <c r="A196" s="2">
        <f>IF(B196&lt;&gt;"",SUM($B$128:B196),"")</f>
        <v/>
      </c>
      <c r="B196" s="2">
        <f>IF(C196&gt;0,1,"")</f>
        <v/>
      </c>
      <c r="C196" s="16" t="n"/>
      <c r="F196" s="17" t="n"/>
    </row>
    <row r="197">
      <c r="A197" s="2">
        <f>IF(B197&lt;&gt;"",SUM($B$128:B197),"")</f>
        <v/>
      </c>
      <c r="B197" s="2">
        <f>IF(C197&gt;0,1,"")</f>
        <v/>
      </c>
      <c r="C197" s="16">
        <f>D27*2</f>
        <v/>
      </c>
      <c r="D197" s="2" t="inlineStr">
        <is>
          <t>W</t>
        </is>
      </c>
      <c r="E197" s="2" t="n">
        <v>2.03</v>
      </c>
      <c r="F197" s="17">
        <f>$D$16</f>
        <v/>
      </c>
      <c r="G197" s="79">
        <f t="array" ref="G197">INDEX($G$181:$G$194,_xlfn.XMATCH(D197&amp;E197&amp;F197,$D$181:$D$194&amp;$E$181:$E$194&amp;$F$181:$F$194,0))</f>
        <v/>
      </c>
      <c r="H197" s="80">
        <f>_xlfn.XLOOKUP(G197,$G$181:$G$194,$H$181:$H$194)</f>
        <v/>
      </c>
    </row>
    <row r="198">
      <c r="A198" s="2">
        <f>IF(B198&lt;&gt;"",SUM($B$128:B198),"")</f>
        <v/>
      </c>
      <c r="B198" s="2">
        <f>IF(C198&gt;0,1,"")</f>
        <v/>
      </c>
      <c r="C198" s="16">
        <f>D28*2</f>
        <v/>
      </c>
      <c r="D198" s="2" t="inlineStr">
        <is>
          <t>W</t>
        </is>
      </c>
      <c r="E198" s="2" t="n">
        <v>2.53</v>
      </c>
      <c r="F198" s="17">
        <f>$D$16</f>
        <v/>
      </c>
      <c r="G198" s="79">
        <f t="array" ref="G198">INDEX($G$181:$G$194,_xlfn.XMATCH(D198&amp;E198&amp;F198,$D$181:$D$194&amp;$E$181:$E$194&amp;$F$181:$F$194,0))</f>
        <v/>
      </c>
      <c r="H198" s="80">
        <f>_xlfn.XLOOKUP(G198,$G$181:$G$194,$H$181:$H$194)</f>
        <v/>
      </c>
    </row>
    <row r="199">
      <c r="A199" s="2">
        <f>IF(B199&lt;&gt;"",SUM($B$128:B199),"")</f>
        <v/>
      </c>
      <c r="B199" s="2">
        <f>IF(C199&gt;0,1,"")</f>
        <v/>
      </c>
      <c r="C199" s="16">
        <f>D30*2</f>
        <v/>
      </c>
      <c r="D199" s="2" t="inlineStr">
        <is>
          <t>L</t>
        </is>
      </c>
      <c r="E199" s="2" t="n">
        <v>2.03</v>
      </c>
      <c r="F199" s="17">
        <f>$D$16</f>
        <v/>
      </c>
      <c r="G199" s="79">
        <f t="array" ref="G199">INDEX($G$181:$G$194,_xlfn.XMATCH(D199&amp;E199&amp;F199,$D$181:$D$194&amp;$E$181:$E$194&amp;$F$181:$F$194,0))</f>
        <v/>
      </c>
      <c r="H199" s="80">
        <f>_xlfn.XLOOKUP(G199,$G$181:$G$194,$H$181:$H$194)</f>
        <v/>
      </c>
    </row>
    <row r="200">
      <c r="A200" s="2">
        <f>IF(B200&lt;&gt;"",SUM($B$128:B200),"")</f>
        <v/>
      </c>
      <c r="B200" s="2">
        <f>IF(C200&gt;0,1,"")</f>
        <v/>
      </c>
      <c r="C200" s="16">
        <f>D31*2</f>
        <v/>
      </c>
      <c r="D200" s="2" t="inlineStr">
        <is>
          <t>L</t>
        </is>
      </c>
      <c r="E200" s="2" t="n">
        <v>2.53</v>
      </c>
      <c r="F200" s="17">
        <f>$D$16</f>
        <v/>
      </c>
      <c r="G200" s="79">
        <f t="array" ref="G200">INDEX($G$181:$G$194,_xlfn.XMATCH(D200&amp;E200&amp;F200,$D$181:$D$194&amp;$E$181:$E$194&amp;$F$181:$F$194,0))</f>
        <v/>
      </c>
      <c r="H200" s="80">
        <f>_xlfn.XLOOKUP(G200,$G$181:$G$194,$H$181:$H$194)</f>
        <v/>
      </c>
    </row>
    <row r="201">
      <c r="A201" s="2">
        <f>IF(B201&lt;&gt;"",SUM($B$128:B201),"")</f>
        <v/>
      </c>
      <c r="B201" s="2">
        <f>IF(C201&gt;0,1,"")</f>
        <v/>
      </c>
      <c r="C201" s="16">
        <f>D32*2</f>
        <v/>
      </c>
      <c r="D201" s="2" t="inlineStr">
        <is>
          <t>L</t>
        </is>
      </c>
      <c r="E201" s="2" t="n">
        <v>4.06</v>
      </c>
      <c r="F201" s="17">
        <f>$D$16</f>
        <v/>
      </c>
      <c r="G201" s="79">
        <f t="array" ref="G201">INDEX($G$181:$G$194,_xlfn.XMATCH(D201&amp;E201&amp;F201,$D$181:$D$194&amp;$E$181:$E$194&amp;$F$181:$F$194,0))</f>
        <v/>
      </c>
      <c r="H201" s="80">
        <f>_xlfn.XLOOKUP(G201,$G$181:$G$194,$H$181:$H$194)</f>
        <v/>
      </c>
    </row>
    <row r="202">
      <c r="A202" s="2">
        <f>IF(B202&lt;&gt;"",SUM($B$128:B202),"")</f>
        <v/>
      </c>
      <c r="B202" s="2">
        <f>IF(C202&gt;0,1,"")</f>
        <v/>
      </c>
      <c r="C202" s="16">
        <f>D33*2</f>
        <v/>
      </c>
      <c r="D202" s="2" t="inlineStr">
        <is>
          <t>L</t>
        </is>
      </c>
      <c r="E202" s="2" t="n">
        <v>5.06</v>
      </c>
      <c r="F202" s="17">
        <f>$D$16</f>
        <v/>
      </c>
      <c r="G202" s="79">
        <f t="array" ref="G202">INDEX($G$181:$G$194,_xlfn.XMATCH(D202&amp;E202&amp;F202,$D$181:$D$194&amp;$E$181:$E$194&amp;$F$181:$F$194,0))</f>
        <v/>
      </c>
      <c r="H202" s="80">
        <f>_xlfn.XLOOKUP(G202,$G$181:$G$194,$H$181:$H$194)</f>
        <v/>
      </c>
    </row>
    <row r="203">
      <c r="A203" s="2">
        <f>IF(B203&lt;&gt;"",SUM($B$128:B203),"")</f>
        <v/>
      </c>
      <c r="B203" s="2">
        <f>IF(C203&gt;0,1,"")</f>
        <v/>
      </c>
      <c r="C203" s="18">
        <f>D34*2</f>
        <v/>
      </c>
      <c r="D203" s="19" t="inlineStr">
        <is>
          <t>L</t>
        </is>
      </c>
      <c r="E203" s="19" t="n">
        <v>6.09</v>
      </c>
      <c r="F203" s="20">
        <f>$D$16</f>
        <v/>
      </c>
      <c r="G203" s="79">
        <f t="array" ref="G203">INDEX($G$181:$G$194,_xlfn.XMATCH(D203&amp;E203&amp;F203,$D$181:$D$194&amp;$E$181:$E$194&amp;$F$181:$F$194,0))</f>
        <v/>
      </c>
      <c r="H203" s="80">
        <f>_xlfn.XLOOKUP(G203,$G$181:$G$194,$H$181:$H$194)</f>
        <v/>
      </c>
    </row>
    <row r="204">
      <c r="A204" s="2">
        <f>IF(B204&lt;&gt;"",SUM($B$128:B204),"")</f>
        <v/>
      </c>
      <c r="B204" s="2">
        <f>IF(C204&gt;0,1,"")</f>
        <v/>
      </c>
    </row>
    <row r="205">
      <c r="A205" s="2">
        <f>IF(B205&lt;&gt;"",SUM($B$128:B205),"")</f>
        <v/>
      </c>
      <c r="B205" s="2">
        <f>IF(C205&gt;0,1,"")</f>
        <v/>
      </c>
    </row>
    <row r="206">
      <c r="A206" s="2">
        <f>IF(B206&lt;&gt;"",SUM($B$128:B206),"")</f>
        <v/>
      </c>
      <c r="B206" s="2">
        <f>IF(C206&gt;0,1,"")</f>
        <v/>
      </c>
    </row>
    <row r="207">
      <c r="A207" s="2">
        <f>IF(B207&lt;&gt;"",SUM($B$128:B207),"")</f>
        <v/>
      </c>
      <c r="B207" s="2">
        <f>IF(C207&gt;0,1,"")</f>
        <v/>
      </c>
      <c r="C207" s="13" t="n"/>
      <c r="D207" s="14" t="n"/>
      <c r="E207" s="14" t="inlineStr">
        <is>
          <t>L</t>
        </is>
      </c>
      <c r="F207" s="15" t="inlineStr">
        <is>
          <t>Treatment</t>
        </is>
      </c>
    </row>
    <row r="208">
      <c r="A208" s="2">
        <f>IF(B208&lt;&gt;"",SUM($B$128:B208),"")</f>
        <v/>
      </c>
      <c r="B208" s="2">
        <f>IF(C208&gt;0,1,"")</f>
        <v/>
      </c>
      <c r="C208" s="16" t="n"/>
      <c r="E208" s="2" t="n">
        <v>2.03</v>
      </c>
      <c r="F208" s="17" t="n">
        <v>0</v>
      </c>
      <c r="G208" s="79" t="inlineStr">
        <is>
          <t>37.60.06.0163</t>
        </is>
      </c>
      <c r="H208" s="80" t="inlineStr">
        <is>
          <t>Domino - Gutter U - L1890 - 4Ø13 - Galvanized</t>
        </is>
      </c>
    </row>
    <row r="209">
      <c r="A209" s="2">
        <f>IF(B209&lt;&gt;"",SUM($B$128:B209),"")</f>
        <v/>
      </c>
      <c r="B209" s="2">
        <f>IF(C209&gt;0,1,"")</f>
        <v/>
      </c>
      <c r="C209" s="16" t="n"/>
      <c r="E209" s="2" t="n">
        <v>2.03</v>
      </c>
      <c r="F209" s="17" t="n">
        <v>1</v>
      </c>
      <c r="G209" s="79" t="inlineStr">
        <is>
          <t>43.08.18.0024</t>
        </is>
      </c>
      <c r="H209" s="80" t="inlineStr">
        <is>
          <t>Domino - Gutter U - L1890 - 4Ø13 - Powder Coated</t>
        </is>
      </c>
    </row>
    <row r="210">
      <c r="A210" s="2">
        <f>IF(B210&lt;&gt;"",SUM($B$128:B210),"")</f>
        <v/>
      </c>
      <c r="B210" s="2">
        <f>IF(C210&gt;0,1,"")</f>
        <v/>
      </c>
      <c r="C210" s="16" t="n"/>
      <c r="E210" s="2" t="n">
        <v>2.53</v>
      </c>
      <c r="F210" s="17" t="n">
        <v>0</v>
      </c>
      <c r="G210" s="79" t="inlineStr">
        <is>
          <t>37.60.06.0164</t>
        </is>
      </c>
      <c r="H210" s="80" t="inlineStr">
        <is>
          <t>Domino - Gutter U - L2390 - 4Ø13 - Galvanized</t>
        </is>
      </c>
    </row>
    <row r="211">
      <c r="A211" s="2">
        <f>IF(B211&lt;&gt;"",SUM($B$128:B211),"")</f>
        <v/>
      </c>
      <c r="B211" s="2">
        <f>IF(C211&gt;0,1,"")</f>
        <v/>
      </c>
      <c r="C211" s="16" t="n"/>
      <c r="E211" s="2" t="n">
        <v>2.53</v>
      </c>
      <c r="F211" s="17" t="n">
        <v>1</v>
      </c>
      <c r="G211" s="79" t="inlineStr">
        <is>
          <t>43.08.18.0025</t>
        </is>
      </c>
      <c r="H211" s="80" t="inlineStr">
        <is>
          <t>Domino - Gutter U - L2390 - 4Ø13 - Powder Coated</t>
        </is>
      </c>
    </row>
    <row r="212">
      <c r="A212" s="2">
        <f>IF(B212&lt;&gt;"",SUM($B$128:B212),"")</f>
        <v/>
      </c>
      <c r="B212" s="2">
        <f>IF(C212&gt;0,1,"")</f>
        <v/>
      </c>
      <c r="C212" s="16" t="n"/>
      <c r="E212" s="2" t="n">
        <v>4.06</v>
      </c>
      <c r="F212" s="17" t="n">
        <v>0</v>
      </c>
      <c r="G212" s="79" t="inlineStr">
        <is>
          <t>37.60.06.0165</t>
        </is>
      </c>
      <c r="H212" s="80" t="inlineStr">
        <is>
          <t>Domino - Gutter U - L3920 - 5Ø13 - Galvanized</t>
        </is>
      </c>
    </row>
    <row r="213">
      <c r="A213" s="2">
        <f>IF(B213&lt;&gt;"",SUM($B$128:B213),"")</f>
        <v/>
      </c>
      <c r="B213" s="2">
        <f>IF(C213&gt;0,1,"")</f>
        <v/>
      </c>
      <c r="C213" s="16" t="n"/>
      <c r="E213" s="2" t="n">
        <v>4.06</v>
      </c>
      <c r="F213" s="17" t="n">
        <v>1</v>
      </c>
      <c r="G213" s="79" t="inlineStr">
        <is>
          <t>43.08.18.0026</t>
        </is>
      </c>
      <c r="H213" s="80" t="inlineStr">
        <is>
          <t>Domino - Gutter U - L3920 - 5Ø13 - Powder Coated</t>
        </is>
      </c>
    </row>
    <row r="214">
      <c r="A214" s="2">
        <f>IF(B214&lt;&gt;"",SUM($B$128:B214),"")</f>
        <v/>
      </c>
      <c r="B214" s="2">
        <f>IF(C214&gt;0,1,"")</f>
        <v/>
      </c>
      <c r="C214" s="16" t="n"/>
      <c r="E214" s="2" t="n">
        <v>5.06</v>
      </c>
      <c r="F214" s="17" t="n">
        <v>0</v>
      </c>
      <c r="G214" s="79" t="inlineStr">
        <is>
          <t>37.60.06.0166</t>
        </is>
      </c>
      <c r="H214" s="80" t="inlineStr">
        <is>
          <t>Domino - Gutter U - L4920 - 5Ø13 - Galvanized</t>
        </is>
      </c>
    </row>
    <row r="215">
      <c r="A215" s="2">
        <f>IF(B215&lt;&gt;"",SUM($B$128:B215),"")</f>
        <v/>
      </c>
      <c r="B215" s="2">
        <f>IF(C215&gt;0,1,"")</f>
        <v/>
      </c>
      <c r="C215" s="16" t="n"/>
      <c r="E215" s="2" t="n">
        <v>5.06</v>
      </c>
      <c r="F215" s="17" t="n">
        <v>1</v>
      </c>
      <c r="G215" s="79" t="inlineStr">
        <is>
          <t>43.08.18.0027</t>
        </is>
      </c>
      <c r="H215" s="80" t="inlineStr">
        <is>
          <t>Domino - Gutter U - L4920 - 5Ø13 - Powder Coated</t>
        </is>
      </c>
    </row>
    <row r="216">
      <c r="A216" s="2">
        <f>IF(B216&lt;&gt;"",SUM($B$128:B216),"")</f>
        <v/>
      </c>
      <c r="B216" s="2">
        <f>IF(C216&gt;0,1,"")</f>
        <v/>
      </c>
      <c r="C216" s="16" t="n"/>
      <c r="E216" s="2" t="n">
        <v>6.09</v>
      </c>
      <c r="F216" s="17" t="n">
        <v>0</v>
      </c>
      <c r="G216" s="79" t="inlineStr">
        <is>
          <t>37.60.06.0167</t>
        </is>
      </c>
      <c r="H216" s="80" t="inlineStr">
        <is>
          <t>Domino - Gutter U - L5950 - 6Ø13 - Galvanized</t>
        </is>
      </c>
    </row>
    <row r="217">
      <c r="A217" s="2">
        <f>IF(B217&lt;&gt;"",SUM($B$128:B217),"")</f>
        <v/>
      </c>
      <c r="B217" s="2">
        <f>IF(C217&gt;0,1,"")</f>
        <v/>
      </c>
      <c r="C217" s="16" t="n"/>
      <c r="E217" s="2" t="n">
        <v>6.09</v>
      </c>
      <c r="F217" s="17" t="n">
        <v>1</v>
      </c>
      <c r="G217" s="79" t="inlineStr">
        <is>
          <t>43.08.18.0028</t>
        </is>
      </c>
      <c r="H217" s="80" t="inlineStr">
        <is>
          <t>Domino - Gutter U - L5950 - 6Ø13 - Powder Coated</t>
        </is>
      </c>
    </row>
    <row r="218">
      <c r="A218" s="2">
        <f>IF(B218&lt;&gt;"",SUM($B$128:B218),"")</f>
        <v/>
      </c>
      <c r="B218" s="2">
        <f>IF(C218&gt;0,1,"")</f>
        <v/>
      </c>
      <c r="C218" s="16" t="n"/>
      <c r="F218" s="17" t="n"/>
    </row>
    <row r="219">
      <c r="A219" s="2">
        <f>IF(B219&lt;&gt;"",SUM($B$128:B219),"")</f>
        <v/>
      </c>
      <c r="B219" s="2">
        <f>IF(C219&gt;0,1,"")</f>
        <v/>
      </c>
      <c r="C219" s="16" t="n"/>
      <c r="F219" s="17" t="n"/>
    </row>
    <row r="220">
      <c r="A220" s="2">
        <f>IF(B220&lt;&gt;"",SUM($B$128:B220),"")</f>
        <v/>
      </c>
      <c r="B220" s="2">
        <f>IF(C220&gt;0,1,"")</f>
        <v/>
      </c>
      <c r="C220" s="16">
        <f>($D$26-1)*D30</f>
        <v/>
      </c>
      <c r="E220" s="2" t="n">
        <v>2.03</v>
      </c>
      <c r="F220" s="17">
        <f>$D$17</f>
        <v/>
      </c>
      <c r="G220" s="79">
        <f t="array" ref="G220">INDEX($G$208:$G$217,_xlfn.XMATCH(E220&amp;F220,$E$208:$E$217&amp;$F$208:$F$217,0))</f>
        <v/>
      </c>
      <c r="H220" s="80">
        <f>_xlfn.XLOOKUP(G220,$G$208:$G$217,$H$208:$H$217)</f>
        <v/>
      </c>
    </row>
    <row r="221">
      <c r="A221" s="2">
        <f>IF(B221&lt;&gt;"",SUM($B$128:B221),"")</f>
        <v/>
      </c>
      <c r="B221" s="2">
        <f>IF(C221&gt;0,1,"")</f>
        <v/>
      </c>
      <c r="C221" s="16">
        <f>($D$26-1)*D31</f>
        <v/>
      </c>
      <c r="E221" s="2" t="n">
        <v>2.53</v>
      </c>
      <c r="F221" s="17">
        <f>$D$17</f>
        <v/>
      </c>
      <c r="G221" s="79">
        <f t="array" ref="G221">INDEX($G$208:$G$217,_xlfn.XMATCH(E221&amp;F221,$E$208:$E$217&amp;$F$208:$F$217,0))</f>
        <v/>
      </c>
      <c r="H221" s="80">
        <f>_xlfn.XLOOKUP(G221,$G$208:$G$217,$H$208:$H$217)</f>
        <v/>
      </c>
    </row>
    <row r="222">
      <c r="A222" s="2">
        <f>IF(B222&lt;&gt;"",SUM($B$128:B222),"")</f>
        <v/>
      </c>
      <c r="B222" s="2">
        <f>IF(C222&gt;0,1,"")</f>
        <v/>
      </c>
      <c r="C222" s="16">
        <f>($D$26-1)*D32</f>
        <v/>
      </c>
      <c r="E222" s="2" t="n">
        <v>4.06</v>
      </c>
      <c r="F222" s="17">
        <f>$D$17</f>
        <v/>
      </c>
      <c r="G222" s="79">
        <f t="array" ref="G222">INDEX($G$208:$G$217,_xlfn.XMATCH(E222&amp;F222,$E$208:$E$217&amp;$F$208:$F$217,0))</f>
        <v/>
      </c>
      <c r="H222" s="80">
        <f>_xlfn.XLOOKUP(G222,$G$208:$G$217,$H$208:$H$217)</f>
        <v/>
      </c>
    </row>
    <row r="223">
      <c r="A223" s="2">
        <f>IF(B223&lt;&gt;"",SUM($B$128:B223),"")</f>
        <v/>
      </c>
      <c r="B223" s="2">
        <f>IF(C223&gt;0,1,"")</f>
        <v/>
      </c>
      <c r="C223" s="16">
        <f>($D$26-1)*D33</f>
        <v/>
      </c>
      <c r="E223" s="2" t="n">
        <v>5.06</v>
      </c>
      <c r="F223" s="17">
        <f>$D$17</f>
        <v/>
      </c>
      <c r="G223" s="79">
        <f t="array" ref="G223">INDEX($G$208:$G$217,_xlfn.XMATCH(E223&amp;F223,$E$208:$E$217&amp;$F$208:$F$217,0))</f>
        <v/>
      </c>
      <c r="H223" s="80">
        <f>_xlfn.XLOOKUP(G223,$G$208:$G$217,$H$208:$H$217)</f>
        <v/>
      </c>
    </row>
    <row r="224">
      <c r="A224" s="2">
        <f>IF(B224&lt;&gt;"",SUM($B$128:B224),"")</f>
        <v/>
      </c>
      <c r="B224" s="2">
        <f>IF(C224&gt;0,1,"")</f>
        <v/>
      </c>
      <c r="C224" s="18">
        <f>($D$26-1)*D34</f>
        <v/>
      </c>
      <c r="D224" s="19" t="n"/>
      <c r="E224" s="19" t="n">
        <v>6.09</v>
      </c>
      <c r="F224" s="20">
        <f>$D$17</f>
        <v/>
      </c>
      <c r="G224" s="79">
        <f t="array" ref="G224">INDEX($G$208:$G$217,_xlfn.XMATCH(E224&amp;F224,$E$208:$E$217&amp;$F$208:$F$217,0))</f>
        <v/>
      </c>
      <c r="H224" s="80">
        <f>_xlfn.XLOOKUP(G224,$G$208:$G$217,$H$208:$H$217)</f>
        <v/>
      </c>
    </row>
    <row r="225">
      <c r="A225" s="2">
        <f>IF(B225&lt;&gt;"",SUM($B$128:B225),"")</f>
        <v/>
      </c>
      <c r="B225" s="2">
        <f>IF(C225&gt;0,1,"")</f>
        <v/>
      </c>
    </row>
    <row r="226">
      <c r="A226" s="2">
        <f>IF(B226&lt;&gt;"",SUM($B$128:B226),"")</f>
        <v/>
      </c>
      <c r="B226" s="2">
        <f>IF(C226&gt;0,1,"")</f>
        <v/>
      </c>
    </row>
    <row r="227">
      <c r="A227" s="2">
        <f>IF(B227&lt;&gt;"",SUM($B$128:B227),"")</f>
        <v/>
      </c>
      <c r="B227" s="2">
        <f>IF(C227&gt;0,1,"")</f>
        <v/>
      </c>
    </row>
    <row r="228">
      <c r="A228" s="2">
        <f>IF(B228&lt;&gt;"",SUM($B$128:B228),"")</f>
        <v/>
      </c>
      <c r="B228" s="2">
        <f>IF(C228&gt;0,1,"")</f>
        <v/>
      </c>
      <c r="C228" s="13" t="n"/>
      <c r="D228" s="14" t="n"/>
      <c r="E228" s="14" t="inlineStr">
        <is>
          <t>L</t>
        </is>
      </c>
      <c r="F228" s="15" t="inlineStr">
        <is>
          <t>Treatment</t>
        </is>
      </c>
    </row>
    <row r="229">
      <c r="A229" s="2">
        <f>IF(B229&lt;&gt;"",SUM($B$128:B229),"")</f>
        <v/>
      </c>
      <c r="B229" s="2">
        <f>IF(C229&gt;0,1,"")</f>
        <v/>
      </c>
      <c r="C229" s="16" t="n"/>
      <c r="E229" s="2" t="n">
        <v>2.03</v>
      </c>
      <c r="F229" s="17" t="n">
        <v>0</v>
      </c>
      <c r="G229" s="79" t="inlineStr">
        <is>
          <t>37.60.06.0168</t>
        </is>
      </c>
      <c r="H229" s="79" t="inlineStr">
        <is>
          <t>Domino - U-Profile - 80x50x3 - L1890 - 3Ø13 - Galvanized</t>
        </is>
      </c>
    </row>
    <row r="230">
      <c r="A230" s="2">
        <f>IF(B230&lt;&gt;"",SUM($B$128:B230),"")</f>
        <v/>
      </c>
      <c r="B230" s="2">
        <f>IF(C230&gt;0,1,"")</f>
        <v/>
      </c>
      <c r="C230" s="16" t="n"/>
      <c r="E230" s="2" t="n">
        <v>2.03</v>
      </c>
      <c r="F230" s="17" t="n">
        <v>1</v>
      </c>
      <c r="G230" s="79" t="inlineStr">
        <is>
          <t>43.17.06.0004</t>
        </is>
      </c>
      <c r="H230" s="79" t="inlineStr">
        <is>
          <t>Domino - U-Profile - 80x50x3 - L1890 - 3Ø13 - Powder Coated</t>
        </is>
      </c>
    </row>
    <row r="231">
      <c r="A231" s="2">
        <f>IF(B231&lt;&gt;"",SUM($B$128:B231),"")</f>
        <v/>
      </c>
      <c r="B231" s="2">
        <f>IF(C231&gt;0,1,"")</f>
        <v/>
      </c>
      <c r="C231" s="16" t="n"/>
      <c r="E231" s="2" t="n">
        <v>2.53</v>
      </c>
      <c r="F231" s="17" t="n">
        <v>0</v>
      </c>
      <c r="G231" s="79" t="inlineStr">
        <is>
          <t>37.60.06.0169</t>
        </is>
      </c>
      <c r="H231" s="79" t="inlineStr">
        <is>
          <t>Domino - U-Profile - 80x50x3 - L2390 - 3Ø13 - Galvanized</t>
        </is>
      </c>
    </row>
    <row r="232">
      <c r="A232" s="2">
        <f>IF(B232&lt;&gt;"",SUM($B$128:B232),"")</f>
        <v/>
      </c>
      <c r="B232" s="2">
        <f>IF(C232&gt;0,1,"")</f>
        <v/>
      </c>
      <c r="C232" s="16" t="n"/>
      <c r="E232" s="2" t="n">
        <v>2.53</v>
      </c>
      <c r="F232" s="17" t="n">
        <v>1</v>
      </c>
      <c r="G232" s="79" t="inlineStr">
        <is>
          <t>43.17.06.0005</t>
        </is>
      </c>
      <c r="H232" s="79" t="inlineStr">
        <is>
          <t>Domino - U-Profile - 80x50x3 - L2390 - 3Ø13 - Powder Coated</t>
        </is>
      </c>
    </row>
    <row r="233">
      <c r="A233" s="2">
        <f>IF(B233&lt;&gt;"",SUM($B$128:B233),"")</f>
        <v/>
      </c>
      <c r="B233" s="2">
        <f>IF(C233&gt;0,1,"")</f>
        <v/>
      </c>
      <c r="C233" s="16" t="n"/>
      <c r="E233" s="2" t="n">
        <v>4.06</v>
      </c>
      <c r="F233" s="17" t="n">
        <v>0</v>
      </c>
      <c r="G233" s="79" t="inlineStr">
        <is>
          <t>37.60.06.0017</t>
        </is>
      </c>
      <c r="H233" s="79" t="inlineStr">
        <is>
          <t>Domino - U-Profile - 80x50x3 - L3920 - 4Ø13 - Galvanized</t>
        </is>
      </c>
    </row>
    <row r="234">
      <c r="A234" s="2">
        <f>IF(B234&lt;&gt;"",SUM($B$128:B234),"")</f>
        <v/>
      </c>
      <c r="B234" s="2">
        <f>IF(C234&gt;0,1,"")</f>
        <v/>
      </c>
      <c r="C234" s="16" t="n"/>
      <c r="E234" s="2" t="n">
        <v>4.06</v>
      </c>
      <c r="F234" s="17" t="n">
        <v>1</v>
      </c>
      <c r="G234" s="79" t="inlineStr">
        <is>
          <t>43.17.06.0001</t>
        </is>
      </c>
      <c r="H234" s="79" t="inlineStr">
        <is>
          <t>Domino - U-Profile - 80x50x3 - L3920 - 4Ø13 - Powder Coated</t>
        </is>
      </c>
    </row>
    <row r="235">
      <c r="A235" s="2">
        <f>IF(B235&lt;&gt;"",SUM($B$128:B235),"")</f>
        <v/>
      </c>
      <c r="B235" s="2">
        <f>IF(C235&gt;0,1,"")</f>
        <v/>
      </c>
      <c r="C235" s="16" t="n"/>
      <c r="E235" s="2" t="n">
        <v>5.06</v>
      </c>
      <c r="F235" s="17" t="n">
        <v>0</v>
      </c>
      <c r="G235" s="79" t="inlineStr">
        <is>
          <t>37.60.06.0018</t>
        </is>
      </c>
      <c r="H235" s="79" t="inlineStr">
        <is>
          <t>Domino - U-Profile - 80x50x3 - L4920 - 4Ø13 - Galvanized</t>
        </is>
      </c>
    </row>
    <row r="236">
      <c r="A236" s="2">
        <f>IF(B236&lt;&gt;"",SUM($B$128:B236),"")</f>
        <v/>
      </c>
      <c r="B236" s="2">
        <f>IF(C236&gt;0,1,"")</f>
        <v/>
      </c>
      <c r="C236" s="16" t="n"/>
      <c r="E236" s="2" t="n">
        <v>5.06</v>
      </c>
      <c r="F236" s="17" t="n">
        <v>1</v>
      </c>
      <c r="G236" s="79" t="inlineStr">
        <is>
          <t>43.17.06.0002</t>
        </is>
      </c>
      <c r="H236" s="79" t="inlineStr">
        <is>
          <t>Domino - U-Profile - 80x50x3 - L4920 - 4Ø13 - Powder Coated</t>
        </is>
      </c>
    </row>
    <row r="237">
      <c r="A237" s="2">
        <f>IF(B237&lt;&gt;"",SUM($B$128:B237),"")</f>
        <v/>
      </c>
      <c r="B237" s="2">
        <f>IF(C237&gt;0,1,"")</f>
        <v/>
      </c>
      <c r="C237" s="16" t="n"/>
      <c r="E237" s="2" t="n">
        <v>6.09</v>
      </c>
      <c r="F237" s="17" t="n">
        <v>0</v>
      </c>
      <c r="G237" s="79" t="inlineStr">
        <is>
          <t>37.60.06.0019</t>
        </is>
      </c>
      <c r="H237" s="79" t="inlineStr">
        <is>
          <t>Domino - U-Profile - 80x50x3 - L5950 - 4Ø13 - Galvanized</t>
        </is>
      </c>
    </row>
    <row r="238">
      <c r="A238" s="2">
        <f>IF(B238&lt;&gt;"",SUM($B$128:B238),"")</f>
        <v/>
      </c>
      <c r="B238" s="2">
        <f>IF(C238&gt;0,1,"")</f>
        <v/>
      </c>
      <c r="C238" s="16" t="n"/>
      <c r="E238" s="2" t="n">
        <v>6.09</v>
      </c>
      <c r="F238" s="17" t="n">
        <v>1</v>
      </c>
      <c r="G238" s="79" t="inlineStr">
        <is>
          <t>43.17.06.0003</t>
        </is>
      </c>
      <c r="H238" s="79" t="inlineStr">
        <is>
          <t>Domino - U-Profile - 80x50x3 - L5950 - 4Ø13 - Powder Coated</t>
        </is>
      </c>
    </row>
    <row r="239">
      <c r="A239" s="2">
        <f>IF(B239&lt;&gt;"",SUM($B$128:B239),"")</f>
        <v/>
      </c>
      <c r="B239" s="2">
        <f>IF(C239&gt;0,1,"")</f>
        <v/>
      </c>
      <c r="C239" s="16" t="n"/>
      <c r="F239" s="17" t="n"/>
    </row>
    <row r="240">
      <c r="A240" s="2">
        <f>IF(B240&lt;&gt;"",SUM($B$128:B240),"")</f>
        <v/>
      </c>
      <c r="B240" s="2">
        <f>IF(C240&gt;0,1,"")</f>
        <v/>
      </c>
      <c r="C240" s="16" t="n"/>
      <c r="F240" s="17" t="n"/>
    </row>
    <row r="241">
      <c r="A241" s="2">
        <f>IF(B241&lt;&gt;"",SUM($B$128:B241),"")</f>
        <v/>
      </c>
      <c r="B241" s="2">
        <f>IF(C241&gt;0,1,"")</f>
        <v/>
      </c>
      <c r="C241" s="16">
        <f>D30</f>
        <v/>
      </c>
      <c r="E241" s="2" t="n">
        <v>2.03</v>
      </c>
      <c r="F241" s="17">
        <f>$D$17</f>
        <v/>
      </c>
      <c r="G241" s="79">
        <f t="array" ref="G241">INDEX($G$229:$G$238,_xlfn.XMATCH(E241&amp;F241,$E$229:$E$238&amp;$F$229:$F$238,0))</f>
        <v/>
      </c>
      <c r="H241" s="80">
        <f>_xlfn.XLOOKUP(G241,$G$229:$G$238,$H$229:$H$238)</f>
        <v/>
      </c>
    </row>
    <row r="242">
      <c r="A242" s="2">
        <f>IF(B242&lt;&gt;"",SUM($B$128:B242),"")</f>
        <v/>
      </c>
      <c r="B242" s="2">
        <f>IF(C242&gt;0,1,"")</f>
        <v/>
      </c>
      <c r="C242" s="16">
        <f>D31</f>
        <v/>
      </c>
      <c r="E242" s="2" t="n">
        <v>2.53</v>
      </c>
      <c r="F242" s="17">
        <f>$D$17</f>
        <v/>
      </c>
      <c r="G242" s="79">
        <f t="array" ref="G242">INDEX($G$229:$G$238,_xlfn.XMATCH(E242&amp;F242,$E$229:$E$238&amp;$F$229:$F$238,0))</f>
        <v/>
      </c>
      <c r="H242" s="80">
        <f>_xlfn.XLOOKUP(G242,$G$229:$G$238,$H$229:$H$238)</f>
        <v/>
      </c>
    </row>
    <row r="243">
      <c r="A243" s="2">
        <f>IF(B243&lt;&gt;"",SUM($B$128:B243),"")</f>
        <v/>
      </c>
      <c r="B243" s="2">
        <f>IF(C243&gt;0,1,"")</f>
        <v/>
      </c>
      <c r="C243" s="16">
        <f>D32</f>
        <v/>
      </c>
      <c r="E243" s="2" t="n">
        <v>4.06</v>
      </c>
      <c r="F243" s="17">
        <f>$D$17</f>
        <v/>
      </c>
      <c r="G243" s="79">
        <f t="array" ref="G243">INDEX($G$229:$G$238,_xlfn.XMATCH(E243&amp;F243,$E$229:$E$238&amp;$F$229:$F$238,0))</f>
        <v/>
      </c>
      <c r="H243" s="80">
        <f>_xlfn.XLOOKUP(G243,$G$229:$G$238,$H$229:$H$238)</f>
        <v/>
      </c>
    </row>
    <row r="244">
      <c r="A244" s="2">
        <f>IF(B244&lt;&gt;"",SUM($B$128:B244),"")</f>
        <v/>
      </c>
      <c r="B244" s="2">
        <f>IF(C244&gt;0,1,"")</f>
        <v/>
      </c>
      <c r="C244" s="16">
        <f>D33</f>
        <v/>
      </c>
      <c r="E244" s="2" t="n">
        <v>5.06</v>
      </c>
      <c r="F244" s="17">
        <f>$D$17</f>
        <v/>
      </c>
      <c r="G244" s="79">
        <f t="array" ref="G244">INDEX($G$229:$G$238,_xlfn.XMATCH(E244&amp;F244,$E$229:$E$238&amp;$F$229:$F$238,0))</f>
        <v/>
      </c>
      <c r="H244" s="80">
        <f>_xlfn.XLOOKUP(G244,$G$229:$G$238,$H$229:$H$238)</f>
        <v/>
      </c>
    </row>
    <row r="245">
      <c r="A245" s="2">
        <f>IF(B245&lt;&gt;"",SUM($B$128:B245),"")</f>
        <v/>
      </c>
      <c r="B245" s="2">
        <f>IF(C245&gt;0,1,"")</f>
        <v/>
      </c>
      <c r="C245" s="18">
        <f>D34</f>
        <v/>
      </c>
      <c r="D245" s="19" t="n"/>
      <c r="E245" s="19" t="n">
        <v>6.09</v>
      </c>
      <c r="F245" s="20">
        <f>$D$17</f>
        <v/>
      </c>
      <c r="G245" s="79">
        <f t="array" ref="G245">INDEX($G$229:$G$238,_xlfn.XMATCH(E245&amp;F245,$E$229:$E$238&amp;$F$229:$F$238,0))</f>
        <v/>
      </c>
      <c r="H245" s="80">
        <f>_xlfn.XLOOKUP(G245,$G$229:$G$238,$H$229:$H$238)</f>
        <v/>
      </c>
    </row>
    <row r="246">
      <c r="A246" s="2">
        <f>IF(B246&lt;&gt;"",SUM($B$128:B246),"")</f>
        <v/>
      </c>
      <c r="B246" s="2">
        <f>IF(C246&gt;0,1,"")</f>
        <v/>
      </c>
    </row>
    <row r="247">
      <c r="A247" s="2">
        <f>IF(B247&lt;&gt;"",SUM($B$128:B247),"")</f>
        <v/>
      </c>
      <c r="B247" s="2">
        <f>IF(C247&gt;0,1,"")</f>
        <v/>
      </c>
    </row>
    <row r="248">
      <c r="A248" s="2">
        <f>IF(B248&lt;&gt;"",SUM($B$128:B248),"")</f>
        <v/>
      </c>
      <c r="B248" s="2">
        <f>IF(C248&gt;0,1,"")</f>
        <v/>
      </c>
    </row>
    <row r="249">
      <c r="A249" s="2">
        <f>IF(B249&lt;&gt;"",SUM($B$128:B249),"")</f>
        <v/>
      </c>
      <c r="B249" s="2">
        <f>IF(C249&gt;0,1,"")</f>
        <v/>
      </c>
      <c r="C249" s="13" t="n"/>
      <c r="D249" s="14" t="inlineStr">
        <is>
          <t>Type</t>
        </is>
      </c>
      <c r="E249" s="14" t="inlineStr">
        <is>
          <t>L</t>
        </is>
      </c>
      <c r="F249" s="15" t="inlineStr">
        <is>
          <t>Treatment</t>
        </is>
      </c>
    </row>
    <row r="250">
      <c r="A250" s="2">
        <f>IF(B250&lt;&gt;"",SUM($B$128:B250),"")</f>
        <v/>
      </c>
      <c r="B250" s="2">
        <f>IF(C250&gt;0,1,"")</f>
        <v/>
      </c>
      <c r="C250" s="16" t="n"/>
      <c r="D250" s="2" t="inlineStr">
        <is>
          <t>L</t>
        </is>
      </c>
      <c r="E250" s="2" t="n">
        <v>2.03</v>
      </c>
      <c r="F250" s="17" t="n">
        <v>0</v>
      </c>
      <c r="G250" s="79" t="inlineStr">
        <is>
          <t>43.13.07.0011</t>
        </is>
      </c>
      <c r="H250" s="79" t="inlineStr">
        <is>
          <t>Domino - Beam - 120x60x3 - L1890 - 8Ø13 - Galvanized</t>
        </is>
      </c>
    </row>
    <row r="251">
      <c r="A251" s="2">
        <f>IF(B251&lt;&gt;"",SUM($B$128:B251),"")</f>
        <v/>
      </c>
      <c r="B251" s="2">
        <f>IF(C251&gt;0,1,"")</f>
        <v/>
      </c>
      <c r="C251" s="16" t="n"/>
      <c r="D251" s="2" t="inlineStr">
        <is>
          <t>L</t>
        </is>
      </c>
      <c r="E251" s="2" t="n">
        <v>2.03</v>
      </c>
      <c r="F251" s="17" t="n">
        <v>1</v>
      </c>
      <c r="G251" s="79" t="inlineStr">
        <is>
          <t>43.13.07.0013</t>
        </is>
      </c>
      <c r="H251" s="79" t="inlineStr">
        <is>
          <t>Domino - Beam - 120x60x3 - L1890 - 8Ø13 - Powder Coated</t>
        </is>
      </c>
    </row>
    <row r="252">
      <c r="A252" s="2">
        <f>IF(B252&lt;&gt;"",SUM($B$128:B252),"")</f>
        <v/>
      </c>
      <c r="B252" s="2">
        <f>IF(C252&gt;0,1,"")</f>
        <v/>
      </c>
      <c r="C252" s="16" t="n"/>
      <c r="D252" s="2" t="inlineStr">
        <is>
          <t>W</t>
        </is>
      </c>
      <c r="E252" s="2" t="n">
        <v>2.03</v>
      </c>
      <c r="F252" s="17" t="n">
        <v>0</v>
      </c>
      <c r="G252" s="79" t="inlineStr">
        <is>
          <t>43.13.07.0004</t>
        </is>
      </c>
      <c r="H252" s="79" t="inlineStr">
        <is>
          <t>Domino - Beam - 120x60x3 - L2098 - 2Ø13 - Galvanized</t>
        </is>
      </c>
    </row>
    <row r="253">
      <c r="A253" s="2">
        <f>IF(B253&lt;&gt;"",SUM($B$128:B253),"")</f>
        <v/>
      </c>
      <c r="B253" s="2">
        <f>IF(C253&gt;0,1,"")</f>
        <v/>
      </c>
      <c r="C253" s="16" t="n"/>
      <c r="D253" s="2" t="inlineStr">
        <is>
          <t>W</t>
        </is>
      </c>
      <c r="E253" s="2" t="n">
        <v>2.03</v>
      </c>
      <c r="F253" s="17" t="n">
        <v>1</v>
      </c>
      <c r="G253" s="79" t="inlineStr">
        <is>
          <t>43.13.07.0008</t>
        </is>
      </c>
      <c r="H253" s="79" t="inlineStr">
        <is>
          <t>Domino - Beam - 120x60x3 - L2098 - 2Ø13 - Powder Coated</t>
        </is>
      </c>
    </row>
    <row r="254">
      <c r="A254" s="2">
        <f>IF(B254&lt;&gt;"",SUM($B$128:B254),"")</f>
        <v/>
      </c>
      <c r="B254" s="2">
        <f>IF(C254&gt;0,1,"")</f>
        <v/>
      </c>
      <c r="C254" s="16" t="n"/>
      <c r="D254" s="2" t="inlineStr">
        <is>
          <t>L</t>
        </is>
      </c>
      <c r="E254" s="2" t="n">
        <v>2.53</v>
      </c>
      <c r="F254" s="17" t="n">
        <v>0</v>
      </c>
      <c r="G254" s="79" t="inlineStr">
        <is>
          <t>43.13.07.0012</t>
        </is>
      </c>
      <c r="H254" s="79" t="inlineStr">
        <is>
          <t>Domino - Beam - 120x60x3 - L2390 - 8Ø13 - Galvanized</t>
        </is>
      </c>
    </row>
    <row r="255">
      <c r="A255" s="2">
        <f>IF(B255&lt;&gt;"",SUM($B$128:B255),"")</f>
        <v/>
      </c>
      <c r="B255" s="2">
        <f>IF(C255&gt;0,1,"")</f>
        <v/>
      </c>
      <c r="C255" s="16" t="n"/>
      <c r="D255" s="2" t="inlineStr">
        <is>
          <t>L</t>
        </is>
      </c>
      <c r="E255" s="2" t="n">
        <v>2.53</v>
      </c>
      <c r="F255" s="17" t="n">
        <v>1</v>
      </c>
      <c r="G255" s="79" t="inlineStr">
        <is>
          <t>43.13.07.0014</t>
        </is>
      </c>
      <c r="H255" s="79" t="inlineStr">
        <is>
          <t>Domino - Beam - 120x60x3 - L2390 - 8Ø13 - Powder Coated</t>
        </is>
      </c>
    </row>
    <row r="256">
      <c r="A256" s="2">
        <f>IF(B256&lt;&gt;"",SUM($B$128:B256),"")</f>
        <v/>
      </c>
      <c r="B256" s="2">
        <f>IF(C256&gt;0,1,"")</f>
        <v/>
      </c>
      <c r="C256" s="16" t="n"/>
      <c r="D256" s="2" t="inlineStr">
        <is>
          <t>W</t>
        </is>
      </c>
      <c r="E256" s="2" t="n">
        <v>2.53</v>
      </c>
      <c r="F256" s="17" t="n">
        <v>0</v>
      </c>
      <c r="G256" s="79" t="inlineStr">
        <is>
          <t>43.13.07.0015</t>
        </is>
      </c>
      <c r="H256" s="79" t="inlineStr">
        <is>
          <t>Domino - Beam - 120x60x3 - L2598 - 2Ø13 - Galvanized</t>
        </is>
      </c>
    </row>
    <row r="257">
      <c r="A257" s="2">
        <f>IF(B257&lt;&gt;"",SUM($B$128:B257),"")</f>
        <v/>
      </c>
      <c r="B257" s="2">
        <f>IF(C257&gt;0,1,"")</f>
        <v/>
      </c>
      <c r="C257" s="16" t="n"/>
      <c r="D257" s="2" t="inlineStr">
        <is>
          <t>W</t>
        </is>
      </c>
      <c r="E257" s="2" t="n">
        <v>2.53</v>
      </c>
      <c r="F257" s="17" t="n">
        <v>1</v>
      </c>
      <c r="G257" s="79" t="inlineStr">
        <is>
          <t>43.13.07.0016</t>
        </is>
      </c>
      <c r="H257" s="79" t="inlineStr">
        <is>
          <t>Domino - Beam - 120x60x3 - L2598 - 2Ø13 - Powder Coated</t>
        </is>
      </c>
    </row>
    <row r="258">
      <c r="A258" s="2">
        <f>IF(B258&lt;&gt;"",SUM($B$128:B258),"")</f>
        <v/>
      </c>
      <c r="B258" s="2">
        <f>IF(C258&gt;0,1,"")</f>
        <v/>
      </c>
      <c r="C258" s="16" t="n"/>
      <c r="D258" s="2" t="inlineStr">
        <is>
          <t>L</t>
        </is>
      </c>
      <c r="E258" s="2" t="n">
        <v>4.06</v>
      </c>
      <c r="F258" s="17" t="n">
        <v>0</v>
      </c>
      <c r="G258" s="79" t="inlineStr">
        <is>
          <t>43.13.07.0001</t>
        </is>
      </c>
      <c r="H258" s="79" t="inlineStr">
        <is>
          <t>Domino - Beam - 120x60x3 - L3920 - 8Ø13 - Galvanized</t>
        </is>
      </c>
    </row>
    <row r="259">
      <c r="A259" s="2">
        <f>IF(B259&lt;&gt;"",SUM($B$128:B259),"")</f>
        <v/>
      </c>
      <c r="B259" s="2">
        <f>IF(C259&gt;0,1,"")</f>
        <v/>
      </c>
      <c r="C259" s="16" t="n"/>
      <c r="D259" s="2" t="inlineStr">
        <is>
          <t>L</t>
        </is>
      </c>
      <c r="E259" s="2" t="n">
        <v>4.06</v>
      </c>
      <c r="F259" s="17" t="n">
        <v>1</v>
      </c>
      <c r="G259" s="79" t="inlineStr">
        <is>
          <t>43.13.07.0005</t>
        </is>
      </c>
      <c r="H259" s="79" t="inlineStr">
        <is>
          <t>Domino - Beam - 120x60x3 - L3920 - 8Ø13 - Powder Coated</t>
        </is>
      </c>
    </row>
    <row r="260">
      <c r="A260" s="2">
        <f>IF(B260&lt;&gt;"",SUM($B$128:B260),"")</f>
        <v/>
      </c>
      <c r="B260" s="2">
        <f>IF(C260&gt;0,1,"")</f>
        <v/>
      </c>
      <c r="C260" s="16" t="n"/>
      <c r="D260" s="2" t="inlineStr">
        <is>
          <t>L</t>
        </is>
      </c>
      <c r="E260" s="2" t="n">
        <v>5.06</v>
      </c>
      <c r="F260" s="17" t="n">
        <v>0</v>
      </c>
      <c r="G260" s="79" t="inlineStr">
        <is>
          <t>43.13.07.0002</t>
        </is>
      </c>
      <c r="H260" s="79" t="inlineStr">
        <is>
          <t>Domino - Beam - 120x60x3 - L4920 - 8Ø13 - Galvanized</t>
        </is>
      </c>
    </row>
    <row r="261">
      <c r="A261" s="2">
        <f>IF(B261&lt;&gt;"",SUM($B$128:B261),"")</f>
        <v/>
      </c>
      <c r="B261" s="2">
        <f>IF(C261&gt;0,1,"")</f>
        <v/>
      </c>
      <c r="C261" s="16" t="n"/>
      <c r="D261" s="2" t="inlineStr">
        <is>
          <t>L</t>
        </is>
      </c>
      <c r="E261" s="2" t="n">
        <v>5.06</v>
      </c>
      <c r="F261" s="17" t="n">
        <v>1</v>
      </c>
      <c r="G261" s="79" t="inlineStr">
        <is>
          <t>43.13.07.0006</t>
        </is>
      </c>
      <c r="H261" s="79" t="inlineStr">
        <is>
          <t>Domino - Beam - 120x60x3 - L4920 - 8Ø13 - Powder Coated</t>
        </is>
      </c>
    </row>
    <row r="262">
      <c r="A262" s="2">
        <f>IF(B262&lt;&gt;"",SUM($B$128:B262),"")</f>
        <v/>
      </c>
      <c r="B262" s="2">
        <f>IF(C262&gt;0,1,"")</f>
        <v/>
      </c>
      <c r="C262" s="16" t="n"/>
      <c r="D262" s="2" t="inlineStr">
        <is>
          <t>L</t>
        </is>
      </c>
      <c r="E262" s="2" t="n">
        <v>6.09</v>
      </c>
      <c r="F262" s="17" t="n">
        <v>0</v>
      </c>
      <c r="G262" s="79" t="inlineStr">
        <is>
          <t>43.13.07.0003</t>
        </is>
      </c>
      <c r="H262" s="79" t="inlineStr">
        <is>
          <t>Domino - Beam - 120x60x3 - L5950 - 8Ø13 - Galvanized</t>
        </is>
      </c>
    </row>
    <row r="263">
      <c r="A263" s="2">
        <f>IF(B263&lt;&gt;"",SUM($B$128:B263),"")</f>
        <v/>
      </c>
      <c r="B263" s="2">
        <f>IF(C263&gt;0,1,"")</f>
        <v/>
      </c>
      <c r="C263" s="16" t="n"/>
      <c r="D263" s="2" t="inlineStr">
        <is>
          <t>L</t>
        </is>
      </c>
      <c r="E263" s="2" t="n">
        <v>6.09</v>
      </c>
      <c r="F263" s="17" t="n">
        <v>1</v>
      </c>
      <c r="G263" s="79" t="inlineStr">
        <is>
          <t>43.13.07.0007</t>
        </is>
      </c>
      <c r="H263" s="79" t="inlineStr">
        <is>
          <t>Domino - Beam - 120x60x3 - L5950 - 8Ø13 - Powder Coated</t>
        </is>
      </c>
    </row>
    <row r="264">
      <c r="A264" s="2">
        <f>IF(B264&lt;&gt;"",SUM($B$128:B264),"")</f>
        <v/>
      </c>
      <c r="B264" s="2">
        <f>IF(C264&gt;0,1,"")</f>
        <v/>
      </c>
      <c r="C264" s="16" t="n"/>
      <c r="F264" s="17" t="n"/>
    </row>
    <row r="265">
      <c r="A265" s="2">
        <f>IF(B265&lt;&gt;"",SUM($B$128:B265),"")</f>
        <v/>
      </c>
      <c r="B265" s="2">
        <f>IF(C265&gt;0,1,"")</f>
        <v/>
      </c>
      <c r="C265" s="16" t="n"/>
      <c r="F265" s="17" t="n"/>
    </row>
    <row r="266">
      <c r="A266" s="2">
        <f>IF(B266&lt;&gt;"",SUM($B$128:B266),"")</f>
        <v/>
      </c>
      <c r="B266" s="2">
        <f>IF(C266&gt;0,1,"")</f>
        <v/>
      </c>
      <c r="C266" s="16">
        <f>D27*($D$29-1)</f>
        <v/>
      </c>
      <c r="D266" s="2" t="inlineStr">
        <is>
          <t>W</t>
        </is>
      </c>
      <c r="E266" s="2" t="n">
        <v>2.03</v>
      </c>
      <c r="F266" s="17">
        <f>$D$17</f>
        <v/>
      </c>
      <c r="G266" s="79">
        <f t="array" ref="G266">INDEX($G$250:$G$263,_xlfn.XMATCH(D266&amp;E266&amp;F266,$D$250:$D$263&amp;$E$250:$E$263&amp;$F$250:$F$263,0))</f>
        <v/>
      </c>
      <c r="H266" s="80">
        <f>_xlfn.XLOOKUP(G266,$G$250:$G$263,$H$250:$H$263)</f>
        <v/>
      </c>
    </row>
    <row r="267">
      <c r="A267" s="2">
        <f>IF(B267&lt;&gt;"",SUM($B$128:B267),"")</f>
        <v/>
      </c>
      <c r="B267" s="2">
        <f>IF(C267&gt;0,1,"")</f>
        <v/>
      </c>
      <c r="C267" s="16">
        <f>D28*($D$29-1)</f>
        <v/>
      </c>
      <c r="D267" s="2" t="inlineStr">
        <is>
          <t>W</t>
        </is>
      </c>
      <c r="E267" s="2" t="n">
        <v>2.53</v>
      </c>
      <c r="F267" s="17">
        <f>$D$17</f>
        <v/>
      </c>
      <c r="G267" s="79">
        <f t="array" ref="G267">INDEX($G$250:$G$263,_xlfn.XMATCH(D267&amp;E267&amp;F267,$D$250:$D$263&amp;$E$250:$E$263&amp;$F$250:$F$263,0))</f>
        <v/>
      </c>
      <c r="H267" s="80">
        <f>_xlfn.XLOOKUP(G267,$G$250:$G$263,$H$250:$H$263)</f>
        <v/>
      </c>
    </row>
    <row r="268">
      <c r="A268" s="2">
        <f>IF(B268&lt;&gt;"",SUM($B$128:B268),"")</f>
        <v/>
      </c>
      <c r="B268" s="2">
        <f>IF(C268&gt;0,1,"")</f>
        <v/>
      </c>
      <c r="C268" s="16">
        <f>D30*$D$26*$D$20</f>
        <v/>
      </c>
      <c r="D268" s="2" t="inlineStr">
        <is>
          <t>L</t>
        </is>
      </c>
      <c r="E268" s="2" t="n">
        <v>2.03</v>
      </c>
      <c r="F268" s="17">
        <f>$D$17</f>
        <v/>
      </c>
      <c r="G268" s="79">
        <f t="array" ref="G268">INDEX($G$250:$G$263,_xlfn.XMATCH(D268&amp;E268&amp;F268,$D$250:$D$263&amp;$E$250:$E$263&amp;$F$250:$F$263,0))</f>
        <v/>
      </c>
      <c r="H268" s="80">
        <f>_xlfn.XLOOKUP(G268,$G$250:$G$263,$H$250:$H$263)</f>
        <v/>
      </c>
    </row>
    <row r="269">
      <c r="A269" s="2">
        <f>IF(B269&lt;&gt;"",SUM($B$128:B269),"")</f>
        <v/>
      </c>
      <c r="B269" s="2">
        <f>IF(C269&gt;0,1,"")</f>
        <v/>
      </c>
      <c r="C269" s="16">
        <f>D31*$D$26*$D$20</f>
        <v/>
      </c>
      <c r="D269" s="2" t="inlineStr">
        <is>
          <t>L</t>
        </is>
      </c>
      <c r="E269" s="2" t="n">
        <v>2.53</v>
      </c>
      <c r="F269" s="17">
        <f>$D$17</f>
        <v/>
      </c>
      <c r="G269" s="79">
        <f t="array" ref="G269">INDEX($G$250:$G$263,_xlfn.XMATCH(D269&amp;E269&amp;F269,$D$250:$D$263&amp;$E$250:$E$263&amp;$F$250:$F$263,0))</f>
        <v/>
      </c>
      <c r="H269" s="80">
        <f>_xlfn.XLOOKUP(G269,$G$250:$G$263,$H$250:$H$263)</f>
        <v/>
      </c>
    </row>
    <row r="270">
      <c r="A270" s="2">
        <f>IF(B270&lt;&gt;"",SUM($B$128:B270),"")</f>
        <v/>
      </c>
      <c r="B270" s="2">
        <f>IF(C270&gt;0,1,"")</f>
        <v/>
      </c>
      <c r="C270" s="16">
        <f>D32*$D$26*$D$20</f>
        <v/>
      </c>
      <c r="D270" s="2" t="inlineStr">
        <is>
          <t>L</t>
        </is>
      </c>
      <c r="E270" s="2" t="n">
        <v>4.06</v>
      </c>
      <c r="F270" s="17">
        <f>$D$17</f>
        <v/>
      </c>
      <c r="G270" s="79">
        <f t="array" ref="G270">INDEX($G$250:$G$263,_xlfn.XMATCH(D270&amp;E270&amp;F270,$D$250:$D$263&amp;$E$250:$E$263&amp;$F$250:$F$263,0))</f>
        <v/>
      </c>
      <c r="H270" s="80">
        <f>_xlfn.XLOOKUP(G270,$G$250:$G$263,$H$250:$H$263)</f>
        <v/>
      </c>
    </row>
    <row r="271">
      <c r="A271" s="2">
        <f>IF(B271&lt;&gt;"",SUM($B$128:B271),"")</f>
        <v/>
      </c>
      <c r="B271" s="2">
        <f>IF(C271&gt;0,1,"")</f>
        <v/>
      </c>
      <c r="C271" s="16">
        <f>D33*$D$26*$D$20</f>
        <v/>
      </c>
      <c r="D271" s="2" t="inlineStr">
        <is>
          <t>L</t>
        </is>
      </c>
      <c r="E271" s="2" t="n">
        <v>5.06</v>
      </c>
      <c r="F271" s="17">
        <f>$D$17</f>
        <v/>
      </c>
      <c r="G271" s="79">
        <f t="array" ref="G271">INDEX($G$250:$G$263,_xlfn.XMATCH(D271&amp;E271&amp;F271,$D$250:$D$263&amp;$E$250:$E$263&amp;$F$250:$F$263,0))</f>
        <v/>
      </c>
      <c r="H271" s="80">
        <f>_xlfn.XLOOKUP(G271,$G$250:$G$263,$H$250:$H$263)</f>
        <v/>
      </c>
    </row>
    <row r="272">
      <c r="A272" s="2">
        <f>IF(B272&lt;&gt;"",SUM($B$128:B272),"")</f>
        <v/>
      </c>
      <c r="B272" s="2">
        <f>IF(C272&gt;0,1,"")</f>
        <v/>
      </c>
      <c r="C272" s="18">
        <f>D34*$D$26*$D$20</f>
        <v/>
      </c>
      <c r="D272" s="19" t="inlineStr">
        <is>
          <t>L</t>
        </is>
      </c>
      <c r="E272" s="19" t="n">
        <v>6.09</v>
      </c>
      <c r="F272" s="20">
        <f>$D$17</f>
        <v/>
      </c>
      <c r="G272" s="79">
        <f t="array" ref="G272">INDEX($G$250:$G$263,_xlfn.XMATCH(D272&amp;E272&amp;F272,$D$250:$D$263&amp;$E$250:$E$263&amp;$F$250:$F$263,0))</f>
        <v/>
      </c>
      <c r="H272" s="80">
        <f>_xlfn.XLOOKUP(G272,$G$250:$G$263,$H$250:$H$263)</f>
        <v/>
      </c>
    </row>
    <row r="273">
      <c r="A273" s="2">
        <f>IF(B273&lt;&gt;"",SUM($B$128:B273),"")</f>
        <v/>
      </c>
      <c r="B273" s="2">
        <f>IF(C273&gt;0,1,"")</f>
        <v/>
      </c>
    </row>
    <row r="274">
      <c r="A274" s="2">
        <f>IF(B274&lt;&gt;"",SUM($B$128:B274),"")</f>
        <v/>
      </c>
      <c r="B274" s="2">
        <f>IF(C274&gt;0,1,"")</f>
        <v/>
      </c>
    </row>
    <row r="275">
      <c r="A275" s="2">
        <f>IF(B275&lt;&gt;"",SUM($B$128:B275),"")</f>
        <v/>
      </c>
      <c r="B275" s="2">
        <f>IF(C275&gt;0,1,"")</f>
        <v/>
      </c>
    </row>
    <row r="276">
      <c r="A276" s="2">
        <f>IF(B276&lt;&gt;"",SUM($B$128:B276),"")</f>
        <v/>
      </c>
      <c r="B276" s="2">
        <f>IF(C276&gt;0,1,"")</f>
        <v/>
      </c>
      <c r="C276" s="13" t="n"/>
      <c r="D276" s="14" t="n"/>
      <c r="E276" s="14" t="inlineStr">
        <is>
          <t>Type</t>
        </is>
      </c>
      <c r="F276" s="15" t="inlineStr">
        <is>
          <t>Treatment</t>
        </is>
      </c>
    </row>
    <row r="277">
      <c r="A277" s="2">
        <f>IF(B277&lt;&gt;"",SUM($B$128:B277),"")</f>
        <v/>
      </c>
      <c r="B277" s="2">
        <f>IF(C277&gt;0,1,"")</f>
        <v/>
      </c>
      <c r="C277" s="16" t="n"/>
      <c r="E277" s="2" t="inlineStr">
        <is>
          <t>B</t>
        </is>
      </c>
      <c r="F277" s="17" t="n">
        <v>0</v>
      </c>
      <c r="G277" s="79" t="inlineStr">
        <is>
          <t>43.09.06.0015</t>
        </is>
      </c>
      <c r="H277" s="79" t="inlineStr">
        <is>
          <t>Domino - Beam Connector - Bracket - Galvanized</t>
        </is>
      </c>
    </row>
    <row r="278">
      <c r="A278" s="2">
        <f>IF(B278&lt;&gt;"",SUM($B$128:B278),"")</f>
        <v/>
      </c>
      <c r="B278" s="2">
        <f>IF(C278&gt;0,1,"")</f>
        <v/>
      </c>
      <c r="C278" s="16" t="n"/>
      <c r="E278" s="2" t="inlineStr">
        <is>
          <t>B</t>
        </is>
      </c>
      <c r="F278" s="17" t="n">
        <v>1</v>
      </c>
      <c r="G278" s="79" t="inlineStr">
        <is>
          <t>43.09.06.0016</t>
        </is>
      </c>
      <c r="H278" s="79" t="inlineStr">
        <is>
          <t>Domino - Beam Connector - Bracket - Powder Coated</t>
        </is>
      </c>
    </row>
    <row r="279">
      <c r="A279" s="2">
        <f>IF(B279&lt;&gt;"",SUM($B$128:B279),"")</f>
        <v/>
      </c>
      <c r="B279" s="2">
        <f>IF(C279&gt;0,1,"")</f>
        <v/>
      </c>
      <c r="C279" s="16" t="n"/>
      <c r="E279" s="2" t="inlineStr">
        <is>
          <t>L</t>
        </is>
      </c>
      <c r="F279" s="17" t="n">
        <v>0</v>
      </c>
      <c r="G279" s="79" t="inlineStr">
        <is>
          <t>43.09.06.0011</t>
        </is>
      </c>
      <c r="H279" s="79" t="inlineStr">
        <is>
          <t>Domino - Beam Connector - L-Profile - Galvanized</t>
        </is>
      </c>
    </row>
    <row r="280">
      <c r="A280" s="2">
        <f>IF(B280&lt;&gt;"",SUM($B$128:B280),"")</f>
        <v/>
      </c>
      <c r="B280" s="2">
        <f>IF(C280&gt;0,1,"")</f>
        <v/>
      </c>
      <c r="C280" s="16" t="n"/>
      <c r="E280" s="2" t="inlineStr">
        <is>
          <t>L</t>
        </is>
      </c>
      <c r="F280" s="17" t="n">
        <v>1</v>
      </c>
      <c r="G280" s="79" t="inlineStr">
        <is>
          <t>43.09.06.0013</t>
        </is>
      </c>
      <c r="H280" s="79" t="inlineStr">
        <is>
          <t>Domino - Beam Connector - L-Profile - Powder Coated</t>
        </is>
      </c>
    </row>
    <row r="281">
      <c r="A281" s="2">
        <f>IF(B281&lt;&gt;"",SUM($B$128:B281),"")</f>
        <v/>
      </c>
      <c r="B281" s="2">
        <f>IF(C281&gt;0,1,"")</f>
        <v/>
      </c>
      <c r="C281" s="16" t="n"/>
      <c r="F281" s="17" t="n"/>
    </row>
    <row r="282">
      <c r="A282" s="2">
        <f>IF(B282&lt;&gt;"",SUM($B$128:B282),"")</f>
        <v/>
      </c>
      <c r="B282" s="2">
        <f>IF(C282&gt;0,1,"")</f>
        <v/>
      </c>
      <c r="C282" s="16" t="n"/>
      <c r="F282" s="17" t="n"/>
    </row>
    <row r="283">
      <c r="A283" s="2">
        <f>IF(B283&lt;&gt;"",SUM($B$128:B283),"")</f>
        <v/>
      </c>
      <c r="B283" s="2">
        <f>IF(C283&gt;0,1,"")</f>
        <v/>
      </c>
      <c r="C283" s="16">
        <f>$D$20*2*$D$26</f>
        <v/>
      </c>
      <c r="E283" s="2" t="inlineStr">
        <is>
          <t>B</t>
        </is>
      </c>
      <c r="F283" s="17">
        <f>$D$17</f>
        <v/>
      </c>
      <c r="G283" s="79">
        <f t="array" ref="G283">INDEX($G$277:$G$280,_xlfn.XMATCH(E283&amp;F283,$E$277:$E$280&amp;$F$277:$F$280,0))</f>
        <v/>
      </c>
      <c r="H283" s="80">
        <f>_xlfn.XLOOKUP(G283,$G$277:$G$280,$H$277:$H$280)</f>
        <v/>
      </c>
    </row>
    <row r="284">
      <c r="A284" s="2">
        <f>IF(B284&lt;&gt;"",SUM($B$128:B284),"")</f>
        <v/>
      </c>
      <c r="B284" s="2">
        <f>IF(C284&gt;0,1,"")</f>
        <v/>
      </c>
      <c r="C284" s="18">
        <f>$D$20*$D$26*($D$29-1)</f>
        <v/>
      </c>
      <c r="D284" s="19" t="n"/>
      <c r="E284" s="19" t="inlineStr">
        <is>
          <t>L</t>
        </is>
      </c>
      <c r="F284" s="20">
        <f>$D$17</f>
        <v/>
      </c>
      <c r="G284" s="79">
        <f t="array" ref="G284">INDEX($G$277:$G$280,_xlfn.XMATCH(E284&amp;F284,$E$277:$E$280&amp;$F$277:$F$280,0))</f>
        <v/>
      </c>
      <c r="H284" s="80">
        <f>_xlfn.XLOOKUP(G284,$G$277:$G$280,$H$277:$H$280)</f>
        <v/>
      </c>
    </row>
    <row r="285">
      <c r="A285" s="2">
        <f>IF(B285&lt;&gt;"",SUM($B$128:B285),"")</f>
        <v/>
      </c>
      <c r="B285" s="2">
        <f>IF(C285&gt;0,1,"")</f>
        <v/>
      </c>
    </row>
    <row r="286">
      <c r="A286" s="2">
        <f>IF(B286&lt;&gt;"",SUM($B$128:B286),"")</f>
        <v/>
      </c>
      <c r="B286" s="2">
        <f>IF(C286&gt;0,1,"")</f>
        <v/>
      </c>
    </row>
    <row r="287">
      <c r="A287" s="2">
        <f>IF(B287&lt;&gt;"",SUM($B$128:B287),"")</f>
        <v/>
      </c>
      <c r="B287" s="2">
        <f>IF(C287&gt;0,1,"")</f>
        <v/>
      </c>
      <c r="C287" s="13" t="n"/>
      <c r="D287" s="14" t="inlineStr">
        <is>
          <t>Gate</t>
        </is>
      </c>
      <c r="E287" s="14" t="inlineStr">
        <is>
          <t>L</t>
        </is>
      </c>
      <c r="F287" s="15" t="inlineStr">
        <is>
          <t>Treatment</t>
        </is>
      </c>
    </row>
    <row r="288">
      <c r="A288" s="2">
        <f>IF(B288&lt;&gt;"",SUM($B$128:B288),"")</f>
        <v/>
      </c>
      <c r="B288" s="2">
        <f>IF(C288&gt;0,1,"")</f>
        <v/>
      </c>
      <c r="C288" s="16" t="n"/>
      <c r="D288" s="2" t="n">
        <v>0</v>
      </c>
      <c r="E288" s="2" t="n">
        <v>2.03</v>
      </c>
      <c r="F288" s="17" t="n">
        <v>0</v>
      </c>
      <c r="G288" s="79" t="inlineStr">
        <is>
          <t>44.02.06.0005</t>
        </is>
      </c>
      <c r="H288" s="79" t="inlineStr">
        <is>
          <t>Domino - Girder - 50x2 - L1948 - 6Ø13 - 6M10 - Galvanized</t>
        </is>
      </c>
    </row>
    <row r="289">
      <c r="A289" s="2">
        <f>IF(B289&lt;&gt;"",SUM($B$128:B289),"")</f>
        <v/>
      </c>
      <c r="B289" s="2">
        <f>IF(C289&gt;0,1,"")</f>
        <v/>
      </c>
      <c r="C289" s="16" t="n"/>
      <c r="D289" s="2" t="n">
        <v>0</v>
      </c>
      <c r="E289" s="2" t="n">
        <v>2.03</v>
      </c>
      <c r="F289" s="17" t="n">
        <v>1</v>
      </c>
      <c r="G289" s="79" t="inlineStr">
        <is>
          <t>44.02.06.0009</t>
        </is>
      </c>
      <c r="H289" s="79" t="inlineStr">
        <is>
          <t>Domino - Girder - 50x2 - L1948 - 6Ø13 - 6M10 - Powder Coated</t>
        </is>
      </c>
    </row>
    <row r="290">
      <c r="A290" s="2">
        <f>IF(B290&lt;&gt;"",SUM($B$128:B290),"")</f>
        <v/>
      </c>
      <c r="B290" s="2">
        <f>IF(C290&gt;0,1,"")</f>
        <v/>
      </c>
      <c r="C290" s="16" t="n"/>
      <c r="D290" s="2" t="n">
        <v>0</v>
      </c>
      <c r="E290" s="2" t="n">
        <v>2.53</v>
      </c>
      <c r="F290" s="17" t="n">
        <v>0</v>
      </c>
      <c r="G290" s="79" t="inlineStr">
        <is>
          <t>44.02.06.0006</t>
        </is>
      </c>
      <c r="H290" s="79" t="inlineStr">
        <is>
          <t>Domino - Girder - 50x2 - L2448 - 6Ø13 - 6M10 - Galvanized</t>
        </is>
      </c>
    </row>
    <row r="291">
      <c r="A291" s="2">
        <f>IF(B291&lt;&gt;"",SUM($B$128:B291),"")</f>
        <v/>
      </c>
      <c r="B291" s="2">
        <f>IF(C291&gt;0,1,"")</f>
        <v/>
      </c>
      <c r="C291" s="16" t="n"/>
      <c r="D291" s="2" t="n">
        <v>0</v>
      </c>
      <c r="E291" s="2" t="n">
        <v>2.53</v>
      </c>
      <c r="F291" s="17" t="n">
        <v>1</v>
      </c>
      <c r="G291" s="79" t="inlineStr">
        <is>
          <t>44.02.06.0010</t>
        </is>
      </c>
      <c r="H291" s="79" t="inlineStr">
        <is>
          <t>Domino - Girder - 50x2 - L2448 - 6Ø13 - 6M10 - Powder Coated</t>
        </is>
      </c>
    </row>
    <row r="292">
      <c r="A292" s="2">
        <f>IF(B292&lt;&gt;"",SUM($B$128:B292),"")</f>
        <v/>
      </c>
      <c r="B292" s="2">
        <f>IF(C292&gt;0,1,"")</f>
        <v/>
      </c>
      <c r="C292" s="16" t="n"/>
      <c r="D292" s="2" t="n">
        <v>1</v>
      </c>
      <c r="E292" s="2" t="n">
        <v>2.03</v>
      </c>
      <c r="F292" s="17" t="n">
        <v>0</v>
      </c>
      <c r="G292" s="79" t="inlineStr">
        <is>
          <t>44.02.06.0029</t>
        </is>
      </c>
      <c r="H292" s="79" t="inlineStr">
        <is>
          <t xml:space="preserve">Domino - Girder - 50x2 - L293mm - 2Ø13 - 2M10 - Galvanized </t>
        </is>
      </c>
    </row>
    <row r="293">
      <c r="A293" s="2">
        <f>IF(B293&lt;&gt;"",SUM($B$128:B293),"")</f>
        <v/>
      </c>
      <c r="B293" s="2">
        <f>IF(C293&gt;0,1,"")</f>
        <v/>
      </c>
      <c r="C293" s="16" t="n"/>
      <c r="D293" s="2" t="n">
        <v>1</v>
      </c>
      <c r="E293" s="2" t="n">
        <v>2.53</v>
      </c>
      <c r="F293" s="17" t="n">
        <v>0</v>
      </c>
      <c r="G293" s="79" t="inlineStr">
        <is>
          <t>44.02.06.0030</t>
        </is>
      </c>
      <c r="H293" s="79" t="inlineStr">
        <is>
          <t xml:space="preserve">Domino - Girder - 50x2 - L543mm - 2Ø13 - 2M10 - Galvanized </t>
        </is>
      </c>
    </row>
    <row r="294">
      <c r="A294" s="2">
        <f>IF(B294&lt;&gt;"",SUM($B$128:B294),"")</f>
        <v/>
      </c>
      <c r="B294" s="2">
        <f>IF(C294&gt;0,1,"")</f>
        <v/>
      </c>
      <c r="C294" s="16" t="n"/>
      <c r="D294" s="2" t="n">
        <v>1</v>
      </c>
      <c r="E294" s="2" t="n">
        <v>2.03</v>
      </c>
      <c r="F294" s="17" t="n">
        <v>1</v>
      </c>
      <c r="G294" s="79" t="inlineStr">
        <is>
          <t>44.02.06.0031</t>
        </is>
      </c>
      <c r="H294" s="79" t="inlineStr">
        <is>
          <t>Domino - Girder - 50x2 - L293mm - 2Ø13 - 2M10 - Powder coated</t>
        </is>
      </c>
    </row>
    <row r="295">
      <c r="A295" s="2">
        <f>IF(B295&lt;&gt;"",SUM($B$128:B295),"")</f>
        <v/>
      </c>
      <c r="B295" s="2">
        <f>IF(C295&gt;0,1,"")</f>
        <v/>
      </c>
      <c r="C295" s="16" t="n"/>
      <c r="D295" s="2" t="n">
        <v>1</v>
      </c>
      <c r="E295" s="2" t="n">
        <v>2.53</v>
      </c>
      <c r="F295" s="17" t="n">
        <v>1</v>
      </c>
      <c r="G295" s="79" t="inlineStr">
        <is>
          <t>44.02.06.0032</t>
        </is>
      </c>
      <c r="H295" s="79" t="inlineStr">
        <is>
          <t xml:space="preserve">Domino - Girder - 50x2 - L543mm - 2Ø13 - 2M10 - Powder coated </t>
        </is>
      </c>
    </row>
    <row r="296">
      <c r="A296" s="2">
        <f>IF(B296&lt;&gt;"",SUM($B$128:B296),"")</f>
        <v/>
      </c>
      <c r="B296" s="2">
        <f>IF(C296&gt;0,1,"")</f>
        <v/>
      </c>
      <c r="C296" s="16" t="n"/>
      <c r="F296" s="17" t="n"/>
    </row>
    <row r="297">
      <c r="A297" s="2">
        <f>IF(B297&lt;&gt;"",SUM($B$128:B297),"")</f>
        <v/>
      </c>
      <c r="B297" s="2">
        <f>IF(C297&gt;0,1,"")</f>
        <v/>
      </c>
      <c r="C297" s="16" t="n"/>
      <c r="F297" s="17" t="n"/>
    </row>
    <row r="298">
      <c r="A298" s="2">
        <f>IF(B298&lt;&gt;"",SUM($B$128:B298),"")</f>
        <v/>
      </c>
      <c r="B298" s="2">
        <f>IF(C298&gt;0,1,"")</f>
        <v/>
      </c>
      <c r="C298" s="16">
        <f>IF(OR(D37=2,D37=3),(2+D18)*(D43+D45*2+D47*3-D48),0)</f>
        <v/>
      </c>
      <c r="D298" s="2" t="n">
        <v>0</v>
      </c>
      <c r="E298" s="2" t="n">
        <v>2.03</v>
      </c>
      <c r="F298" s="17">
        <f>$D$17</f>
        <v/>
      </c>
      <c r="G298" s="79">
        <f t="array" ref="G298">INDEX($G$288:$G$295,_xlfn.XMATCH(D298&amp;E298&amp;F298,$D$288:$D$295&amp;$E$288:$E$295&amp;$F$288:$F$295,0))</f>
        <v/>
      </c>
      <c r="H298" s="80">
        <f>_xlfn.XLOOKUP(G298,$G$288:$G$295,$H$288:$H$295)</f>
        <v/>
      </c>
    </row>
    <row r="299">
      <c r="A299" s="2">
        <f>IF(B299&lt;&gt;"",SUM($B$128:B299),"")</f>
        <v/>
      </c>
      <c r="B299" s="2">
        <f>IF(C299&gt;0,1,"")</f>
        <v/>
      </c>
      <c r="C299" s="16">
        <f>IF(OR(D37=2,D37=3),(2+D18)*(D44+D46*2-D49),0)</f>
        <v/>
      </c>
      <c r="D299" s="2" t="n">
        <v>0</v>
      </c>
      <c r="E299" s="2" t="n">
        <v>2.53</v>
      </c>
      <c r="F299" s="17">
        <f>$D$17</f>
        <v/>
      </c>
      <c r="G299" s="79">
        <f t="array" ref="G299">INDEX($G$288:$G$295,_xlfn.XMATCH(D299&amp;E299&amp;F299,$D$288:$D$295&amp;$E$288:$E$295&amp;$F$288:$F$295,0))</f>
        <v/>
      </c>
      <c r="H299" s="80">
        <f>_xlfn.XLOOKUP(G299,$G$288:$G$295,$H$288:$H$295)</f>
        <v/>
      </c>
    </row>
    <row r="300">
      <c r="A300" s="2">
        <f>IF(B300&lt;&gt;"",SUM($B$128:B300),"")</f>
        <v/>
      </c>
      <c r="B300" s="2">
        <f>IF(C300&gt;0,1,"")</f>
        <v/>
      </c>
      <c r="C300" s="16">
        <f>IF(OR(D37=2,D37=3),(2+D18)*D52*2,0)</f>
        <v/>
      </c>
      <c r="D300" s="2" t="n">
        <v>1</v>
      </c>
      <c r="E300" s="2" t="n">
        <v>2.03</v>
      </c>
      <c r="F300" s="17">
        <f>$D$17</f>
        <v/>
      </c>
      <c r="G300" s="79">
        <f t="array" ref="G300">INDEX($G$288:$G$295,_xlfn.XMATCH(D300&amp;E300&amp;F300,$D$288:$D$295&amp;$E$288:$E$295&amp;$F$288:$F$295,0))</f>
        <v/>
      </c>
      <c r="H300" s="80">
        <f>_xlfn.XLOOKUP(G300,$G$288:$G$295,$H$288:$H$295)</f>
        <v/>
      </c>
    </row>
    <row r="301">
      <c r="A301" s="2">
        <f>IF(B301&lt;&gt;"",SUM($B$128:B301),"")</f>
        <v/>
      </c>
      <c r="B301" s="2">
        <f>IF(C301&gt;0,1,"")</f>
        <v/>
      </c>
      <c r="C301" s="18">
        <f>IF(OR(D37=2,D37=3),(2+D18)*D53*2,0)</f>
        <v/>
      </c>
      <c r="D301" s="19" t="n">
        <v>1</v>
      </c>
      <c r="E301" s="19" t="n">
        <v>2.53</v>
      </c>
      <c r="F301" s="20">
        <f>$D$17</f>
        <v/>
      </c>
      <c r="G301" s="79">
        <f t="array" ref="G301">INDEX($G$288:$G$295,_xlfn.XMATCH(D301&amp;E301&amp;F301,$D$288:$D$295&amp;$E$288:$E$295&amp;$F$288:$F$295,0))</f>
        <v/>
      </c>
      <c r="H301" s="80">
        <f>_xlfn.XLOOKUP(G301,$G$288:$G$295,$H$288:$H$295)</f>
        <v/>
      </c>
    </row>
    <row r="302">
      <c r="A302" s="2">
        <f>IF(B302&lt;&gt;"",SUM($B$128:B302),"")</f>
        <v/>
      </c>
      <c r="B302" s="2">
        <f>IF(C302&gt;0,1,"")</f>
        <v/>
      </c>
    </row>
    <row r="303">
      <c r="A303" s="2">
        <f>IF(B303&lt;&gt;"",SUM($B$128:B303),"")</f>
        <v/>
      </c>
      <c r="B303" s="2">
        <f>IF(C303&gt;0,1,"")</f>
        <v/>
      </c>
    </row>
    <row r="304">
      <c r="A304" s="2">
        <f>IF(B304&lt;&gt;"",SUM($B$128:B304),"")</f>
        <v/>
      </c>
      <c r="B304" s="2">
        <f>IF(C304&gt;0,1,"")</f>
        <v/>
      </c>
    </row>
    <row r="305">
      <c r="A305" s="2">
        <f>IF(B305&lt;&gt;"",SUM($B$128:B305),"")</f>
        <v/>
      </c>
      <c r="B305" s="2">
        <f>IF(C305&gt;0,1,"")</f>
        <v/>
      </c>
      <c r="C305" s="13" t="n"/>
      <c r="D305" s="14" t="n"/>
      <c r="E305" s="14" t="n"/>
      <c r="F305" s="15" t="inlineStr">
        <is>
          <t>Treatment</t>
        </is>
      </c>
    </row>
    <row r="306">
      <c r="A306" s="2">
        <f>IF(B306&lt;&gt;"",SUM($B$128:B306),"")</f>
        <v/>
      </c>
      <c r="B306" s="2">
        <f>IF(C306&gt;0,1,"")</f>
        <v/>
      </c>
      <c r="C306" s="16" t="n"/>
      <c r="F306" s="17" t="n">
        <v>0</v>
      </c>
      <c r="G306" s="79" t="inlineStr">
        <is>
          <t>43.07.18.0001</t>
        </is>
      </c>
      <c r="H306" s="79" t="inlineStr">
        <is>
          <t>Domino - Wall Connector - Galvanized</t>
        </is>
      </c>
    </row>
    <row r="307">
      <c r="A307" s="2">
        <f>IF(B307&lt;&gt;"",SUM($B$128:B307),"")</f>
        <v/>
      </c>
      <c r="B307" s="2">
        <f>IF(C307&gt;0,1,"")</f>
        <v/>
      </c>
      <c r="C307" s="16" t="n"/>
      <c r="F307" s="17" t="n">
        <v>1</v>
      </c>
      <c r="G307" s="79" t="inlineStr">
        <is>
          <t>43.07.18.0004</t>
        </is>
      </c>
      <c r="H307" s="79" t="inlineStr">
        <is>
          <t>Domino - Wall Connector - Powder Coated</t>
        </is>
      </c>
    </row>
    <row r="308">
      <c r="A308" s="2">
        <f>IF(B308&lt;&gt;"",SUM($B$128:B308),"")</f>
        <v/>
      </c>
      <c r="B308" s="2">
        <f>IF(C308&gt;0,1,"")</f>
        <v/>
      </c>
      <c r="C308" s="16" t="n"/>
      <c r="F308" s="17" t="n"/>
      <c r="H308" s="79" t="n"/>
    </row>
    <row r="309">
      <c r="A309" s="2">
        <f>IF(B309&lt;&gt;"",SUM($B$128:B309),"")</f>
        <v/>
      </c>
      <c r="B309" s="2">
        <f>IF(C309&gt;0,1,"")</f>
        <v/>
      </c>
      <c r="C309" s="16" t="n"/>
      <c r="F309" s="17" t="n"/>
    </row>
    <row r="310">
      <c r="A310" s="2">
        <f>IF(B310&lt;&gt;"",SUM($B$128:B310),"")</f>
        <v/>
      </c>
      <c r="B310" s="2">
        <f>IF(C310&gt;0,1,"")</f>
        <v/>
      </c>
      <c r="C310" s="18">
        <f>IF(OR(D37=2,D37=3),2*(2+D18)*(D43+D44+D45*2+D46*2+D47*3-D48-D49+D52*2+D53*2),0)</f>
        <v/>
      </c>
      <c r="D310" s="19" t="n"/>
      <c r="E310" s="19" t="n"/>
      <c r="F310" s="20">
        <f>$D$17</f>
        <v/>
      </c>
      <c r="G310" s="79">
        <f t="array" ref="G310">INDEX(G306:$G$307,_xlfn.XMATCH(F310,$F$306:$F$307,0))</f>
        <v/>
      </c>
      <c r="H310" s="80">
        <f>_xlfn.XLOOKUP(G310,$G$306:$G$307,$H$306:$H$307)</f>
        <v/>
      </c>
    </row>
    <row r="311">
      <c r="A311" s="2">
        <f>IF(B311&lt;&gt;"",SUM($B$128:B311),"")</f>
        <v/>
      </c>
      <c r="B311" s="2">
        <f>IF(C311&gt;0,1,"")</f>
        <v/>
      </c>
    </row>
    <row r="312">
      <c r="A312" s="2">
        <f>IF(B312&lt;&gt;"",SUM($B$128:B312),"")</f>
        <v/>
      </c>
      <c r="B312" s="2">
        <f>IF(C312&gt;0,1,"")</f>
        <v/>
      </c>
    </row>
    <row r="313">
      <c r="A313" s="2">
        <f>IF(B313&lt;&gt;"",SUM($B$128:B313),"")</f>
        <v/>
      </c>
      <c r="B313" s="2">
        <f>IF(C313&gt;0,1,"")</f>
        <v/>
      </c>
    </row>
    <row r="314">
      <c r="A314" s="2">
        <f>IF(B314&lt;&gt;"",SUM($B$128:B314),"")</f>
        <v/>
      </c>
      <c r="B314" s="2">
        <f>IF(C314&gt;0,1,"")</f>
        <v/>
      </c>
      <c r="C314" s="13" t="n"/>
      <c r="D314" s="14" t="n"/>
      <c r="E314" s="14" t="n"/>
      <c r="F314" s="15" t="inlineStr">
        <is>
          <t>Treatment</t>
        </is>
      </c>
    </row>
    <row r="315">
      <c r="A315" s="2">
        <f>IF(B315&lt;&gt;"",SUM($B$128:B315),"")</f>
        <v/>
      </c>
      <c r="B315" s="2">
        <f>IF(C315&gt;0,1,"")</f>
        <v/>
      </c>
      <c r="C315" s="16" t="n"/>
      <c r="F315" s="17" t="n">
        <v>0</v>
      </c>
      <c r="G315" s="79" t="inlineStr">
        <is>
          <t>43.07.18.0013</t>
        </is>
      </c>
      <c r="H315" s="79" t="inlineStr">
        <is>
          <t>Domino - Strut - 50x2 - Galvanized</t>
        </is>
      </c>
    </row>
    <row r="316">
      <c r="A316" s="2">
        <f>IF(B316&lt;&gt;"",SUM($B$128:B316),"")</f>
        <v/>
      </c>
      <c r="B316" s="2">
        <f>IF(C316&gt;0,1,"")</f>
        <v/>
      </c>
      <c r="C316" s="16" t="n"/>
      <c r="F316" s="17" t="n">
        <v>1</v>
      </c>
      <c r="G316" s="79" t="inlineStr">
        <is>
          <t>43.07.18.0014</t>
        </is>
      </c>
      <c r="H316" s="79" t="inlineStr">
        <is>
          <t>Domino - Strut - 50x2 - Powder Coated</t>
        </is>
      </c>
    </row>
    <row r="317">
      <c r="A317" s="2">
        <f>IF(B317&lt;&gt;"",SUM($B$128:B317),"")</f>
        <v/>
      </c>
      <c r="B317" s="2">
        <f>IF(C317&gt;0,1,"")</f>
        <v/>
      </c>
      <c r="C317" s="16" t="n"/>
      <c r="F317" s="17" t="n"/>
      <c r="H317" s="79" t="n"/>
    </row>
    <row r="318">
      <c r="A318" s="2">
        <f>IF(B318&lt;&gt;"",SUM($B$128:B318),"")</f>
        <v/>
      </c>
      <c r="B318" s="2">
        <f>IF(C318&gt;0,1,"")</f>
        <v/>
      </c>
      <c r="C318" s="16" t="n"/>
      <c r="F318" s="17" t="n"/>
    </row>
    <row r="319">
      <c r="A319" s="2">
        <f>IF(B319&lt;&gt;"",SUM($B$128:B319),"")</f>
        <v/>
      </c>
      <c r="B319" s="2">
        <f>IF(C319&gt;0,1,"")</f>
        <v/>
      </c>
      <c r="C319" s="18">
        <f>IF(OR(D37=2,D37=3),D18*2*(D26-1)*D29,0)</f>
        <v/>
      </c>
      <c r="D319" s="19" t="n"/>
      <c r="E319" s="19" t="n"/>
      <c r="F319" s="20">
        <f>$D$17</f>
        <v/>
      </c>
      <c r="G319" s="79">
        <f t="array" ref="G319">INDEX(G$315:$G316,_xlfn.XMATCH(F319,$F$315:$F$316,0))</f>
        <v/>
      </c>
      <c r="H319" s="80">
        <f>_xlfn.XLOOKUP(G319,$G$315:$G$316,$H$315:$H$316)</f>
        <v/>
      </c>
    </row>
    <row r="320">
      <c r="A320" s="2">
        <f>IF(B320&lt;&gt;"",SUM($B$128:B320),"")</f>
        <v/>
      </c>
      <c r="B320" s="2">
        <f>IF(C320&gt;0,1,"")</f>
        <v/>
      </c>
    </row>
    <row r="321">
      <c r="A321" s="2">
        <f>IF(B321&lt;&gt;"",SUM($B$128:B321),"")</f>
        <v/>
      </c>
      <c r="B321" s="2">
        <f>IF(C321&gt;0,1,"")</f>
        <v/>
      </c>
    </row>
    <row r="322">
      <c r="A322" s="2">
        <f>IF(B322&lt;&gt;"",SUM($B$128:B322),"")</f>
        <v/>
      </c>
      <c r="B322" s="2">
        <f>IF(C322&gt;0,1,"")</f>
        <v/>
      </c>
    </row>
    <row r="323">
      <c r="A323" s="2">
        <f>IF(B323&lt;&gt;"",SUM($B$128:B323),"")</f>
        <v/>
      </c>
      <c r="B323" s="2">
        <f>IF(C323&gt;0,1,"")</f>
        <v/>
      </c>
      <c r="C323" s="13" t="n"/>
      <c r="D323" s="14" t="n"/>
      <c r="E323" s="14" t="inlineStr">
        <is>
          <t>L</t>
        </is>
      </c>
      <c r="F323" s="15" t="inlineStr">
        <is>
          <t>Treatment</t>
        </is>
      </c>
    </row>
    <row r="324">
      <c r="A324" s="2">
        <f>IF(B324&lt;&gt;"",SUM($B$128:B324),"")</f>
        <v/>
      </c>
      <c r="B324" s="2">
        <f>IF(C324&gt;0,1,"")</f>
        <v/>
      </c>
      <c r="C324" s="16" t="n"/>
      <c r="E324" s="2" t="n">
        <v>2.03</v>
      </c>
      <c r="F324" s="17" t="n">
        <v>0</v>
      </c>
      <c r="G324" s="79" t="inlineStr">
        <is>
          <t>43.07.18.0009</t>
        </is>
      </c>
      <c r="H324" s="79" t="inlineStr">
        <is>
          <t>Domino - Brace - 50x2 - L3065 - Galvanized</t>
        </is>
      </c>
    </row>
    <row r="325">
      <c r="A325" s="2">
        <f>IF(B325&lt;&gt;"",SUM($B$128:B325),"")</f>
        <v/>
      </c>
      <c r="B325" s="2">
        <f>IF(C325&gt;0,1,"")</f>
        <v/>
      </c>
      <c r="C325" s="16" t="n"/>
      <c r="E325" s="2" t="n">
        <v>2.03</v>
      </c>
      <c r="F325" s="17" t="n">
        <v>1</v>
      </c>
      <c r="G325" s="79" t="inlineStr">
        <is>
          <t>43.07.18.0011</t>
        </is>
      </c>
      <c r="H325" s="79" t="inlineStr">
        <is>
          <t>Domino - Brace - 50x2 - L3065 - Powder Coated</t>
        </is>
      </c>
    </row>
    <row r="326">
      <c r="A326" s="2">
        <f>IF(B326&lt;&gt;"",SUM($B$128:B326),"")</f>
        <v/>
      </c>
      <c r="B326" s="2">
        <f>IF(C326&gt;0,1,"")</f>
        <v/>
      </c>
      <c r="C326" s="16" t="n"/>
      <c r="E326" s="2" t="n">
        <v>2.53</v>
      </c>
      <c r="F326" s="17" t="n">
        <v>0</v>
      </c>
      <c r="G326" s="79" t="inlineStr">
        <is>
          <t>43.07.18.0010</t>
        </is>
      </c>
      <c r="H326" s="79" t="inlineStr">
        <is>
          <t>Domino - Brace - 50x2 - L3399 - Galvanized</t>
        </is>
      </c>
    </row>
    <row r="327">
      <c r="A327" s="2">
        <f>IF(B327&lt;&gt;"",SUM($B$128:B327),"")</f>
        <v/>
      </c>
      <c r="B327" s="2">
        <f>IF(C327&gt;0,1,"")</f>
        <v/>
      </c>
      <c r="C327" s="16" t="n"/>
      <c r="E327" s="2" t="n">
        <v>2.53</v>
      </c>
      <c r="F327" s="17" t="n">
        <v>1</v>
      </c>
      <c r="G327" s="79" t="inlineStr">
        <is>
          <t>43.07.18.0012</t>
        </is>
      </c>
      <c r="H327" s="79" t="inlineStr">
        <is>
          <t>Domino - Brace - 50x2 - L3399 - Powder Coated</t>
        </is>
      </c>
    </row>
    <row r="328">
      <c r="A328" s="2">
        <f>IF(B328&lt;&gt;"",SUM($B$128:B328),"")</f>
        <v/>
      </c>
      <c r="B328" s="2">
        <f>IF(C328&gt;0,1,"")</f>
        <v/>
      </c>
      <c r="C328" s="16" t="n"/>
      <c r="F328" s="17" t="n"/>
    </row>
    <row r="329">
      <c r="A329" s="2">
        <f>IF(B329&lt;&gt;"",SUM($B$128:B329),"")</f>
        <v/>
      </c>
      <c r="B329" s="2">
        <f>IF(C329&gt;0,1,"")</f>
        <v/>
      </c>
      <c r="C329" s="16" t="n"/>
      <c r="F329" s="17" t="n"/>
    </row>
    <row r="330">
      <c r="A330" s="2">
        <f>IF(B330&lt;&gt;"",SUM($B$128:B330),"")</f>
        <v/>
      </c>
      <c r="B330" s="2">
        <f>IF(C330&gt;0,1,"")</f>
        <v/>
      </c>
      <c r="C330" s="16">
        <f>D62</f>
        <v/>
      </c>
      <c r="E330" s="2" t="n">
        <v>2.03</v>
      </c>
      <c r="F330" s="17">
        <f>$D$17</f>
        <v/>
      </c>
      <c r="G330" s="79">
        <f t="array" ref="G330">INDEX(G$324:$G327,_xlfn.XMATCH(E330&amp;F330,$E$324:$E$327&amp;$F$324:$F$327,0))</f>
        <v/>
      </c>
      <c r="H330" s="80">
        <f>_xlfn.XLOOKUP(G330,$G$324:$G$327,$H$324:$H$327)</f>
        <v/>
      </c>
    </row>
    <row r="331">
      <c r="A331" s="2">
        <f>IF(B331&lt;&gt;"",SUM($B$128:B331),"")</f>
        <v/>
      </c>
      <c r="B331" s="2">
        <f>IF(C331&gt;0,1,"")</f>
        <v/>
      </c>
      <c r="C331" s="18">
        <f>D63</f>
        <v/>
      </c>
      <c r="D331" s="19" t="n"/>
      <c r="E331" s="19" t="n">
        <v>2.53</v>
      </c>
      <c r="F331" s="20">
        <f>$D$17</f>
        <v/>
      </c>
      <c r="G331" s="79">
        <f t="array" ref="G331">INDEX(G$324:$G327,_xlfn.XMATCH(E331&amp;F331,$E$324:$E$327&amp;$F$324:$F$327,0))</f>
        <v/>
      </c>
      <c r="H331" s="80">
        <f>_xlfn.XLOOKUP(G331,$G$324:$G$327,$H$324:$H$327)</f>
        <v/>
      </c>
    </row>
    <row r="332">
      <c r="A332" s="2">
        <f>IF(B332&lt;&gt;"",SUM($B$128:B332),"")</f>
        <v/>
      </c>
      <c r="B332" s="2">
        <f>IF(C332&gt;0,1,"")</f>
        <v/>
      </c>
    </row>
    <row r="333">
      <c r="A333" s="2">
        <f>IF(B333&lt;&gt;"",SUM($B$128:B333),"")</f>
        <v/>
      </c>
      <c r="B333" s="2">
        <f>IF(C333&gt;0,1,"")</f>
        <v/>
      </c>
    </row>
    <row r="334">
      <c r="A334" s="2">
        <f>IF(B334&lt;&gt;"",SUM($B$128:B334),"")</f>
        <v/>
      </c>
      <c r="B334" s="2">
        <f>IF(C334&gt;0,1,"")</f>
        <v/>
      </c>
    </row>
    <row r="335">
      <c r="A335" s="2">
        <f>IF(B335&lt;&gt;"",SUM($B$128:B335),"")</f>
        <v/>
      </c>
      <c r="B335" s="2">
        <f>IF(C335&gt;0,1,"")</f>
        <v/>
      </c>
      <c r="C335" s="13" t="n"/>
      <c r="D335" s="14" t="n"/>
      <c r="E335" s="14" t="inlineStr">
        <is>
          <t>L</t>
        </is>
      </c>
      <c r="F335" s="15" t="inlineStr">
        <is>
          <t>Treatment</t>
        </is>
      </c>
    </row>
    <row r="336">
      <c r="A336" s="2">
        <f>IF(B336&lt;&gt;"",SUM($B$128:B336),"")</f>
        <v/>
      </c>
      <c r="B336" s="2">
        <f>IF(C336&gt;0,1,"")</f>
        <v/>
      </c>
      <c r="C336" s="16" t="n"/>
      <c r="E336" s="2" t="n">
        <v>2.03</v>
      </c>
      <c r="F336" s="17" t="n">
        <v>0</v>
      </c>
      <c r="G336" s="79" t="inlineStr">
        <is>
          <t>43.07.18.0015</t>
        </is>
      </c>
      <c r="H336" s="79" t="inlineStr">
        <is>
          <t>Domino - Brace - Flat 50x5 - L2262 - Galvanized</t>
        </is>
      </c>
    </row>
    <row r="337">
      <c r="A337" s="2">
        <f>IF(B337&lt;&gt;"",SUM($B$128:B337),"")</f>
        <v/>
      </c>
      <c r="B337" s="2">
        <f>IF(C337&gt;0,1,"")</f>
        <v/>
      </c>
      <c r="C337" s="16" t="n"/>
      <c r="E337" s="2" t="n">
        <v>2.53</v>
      </c>
      <c r="F337" s="17" t="n">
        <v>0</v>
      </c>
      <c r="G337" s="79" t="inlineStr">
        <is>
          <t>43.07.18.0016</t>
        </is>
      </c>
      <c r="H337" s="79" t="inlineStr">
        <is>
          <t>Domino - Brace - Flat 50x5 - L2699 - Galvanized</t>
        </is>
      </c>
    </row>
    <row r="338">
      <c r="A338" s="2">
        <f>IF(B338&lt;&gt;"",SUM($B$128:B338),"")</f>
        <v/>
      </c>
      <c r="B338" s="2">
        <f>IF(C338&gt;0,1,"")</f>
        <v/>
      </c>
      <c r="C338" s="16" t="n"/>
      <c r="E338" s="2" t="n">
        <v>2.03</v>
      </c>
      <c r="F338" s="17" t="n">
        <v>1</v>
      </c>
      <c r="G338" s="79" t="inlineStr">
        <is>
          <t>43.07.18.0017</t>
        </is>
      </c>
      <c r="H338" s="79" t="inlineStr">
        <is>
          <t>Domino - Brace - Flat 50x5 - L2262 - Powder Coated</t>
        </is>
      </c>
    </row>
    <row r="339">
      <c r="A339" s="2">
        <f>IF(B339&lt;&gt;"",SUM($B$128:B339),"")</f>
        <v/>
      </c>
      <c r="B339" s="2">
        <f>IF(C339&gt;0,1,"")</f>
        <v/>
      </c>
      <c r="C339" s="16" t="n"/>
      <c r="E339" s="2" t="n">
        <v>2.53</v>
      </c>
      <c r="F339" s="17" t="n">
        <v>1</v>
      </c>
      <c r="G339" s="79" t="inlineStr">
        <is>
          <t>43.07.18.0018</t>
        </is>
      </c>
      <c r="H339" s="79" t="inlineStr">
        <is>
          <t>Domino - Brace - Flat 50x5 - L2699 - Powder Coated</t>
        </is>
      </c>
    </row>
    <row r="340">
      <c r="A340" s="2">
        <f>IF(B340&lt;&gt;"",SUM($B$128:B340),"")</f>
        <v/>
      </c>
      <c r="B340" s="2">
        <f>IF(C340&gt;0,1,"")</f>
        <v/>
      </c>
      <c r="C340" s="16" t="n"/>
      <c r="F340" s="17" t="n"/>
    </row>
    <row r="341">
      <c r="A341" s="2">
        <f>IF(B341&lt;&gt;"",SUM($B$128:B341),"")</f>
        <v/>
      </c>
      <c r="B341" s="2">
        <f>IF(C341&gt;0,1,"")</f>
        <v/>
      </c>
      <c r="C341" s="16" t="n"/>
      <c r="F341" s="17" t="n"/>
    </row>
    <row r="342">
      <c r="A342" s="2">
        <f>IF(B342&lt;&gt;"",SUM($B$128:B342),"")</f>
        <v/>
      </c>
      <c r="B342" s="2">
        <f>IF(C342&gt;0,1,"")</f>
        <v/>
      </c>
      <c r="C342" s="16">
        <f>D64</f>
        <v/>
      </c>
      <c r="E342" s="2" t="n">
        <v>2.03</v>
      </c>
      <c r="F342" s="17">
        <f>$D$17</f>
        <v/>
      </c>
      <c r="G342" s="79">
        <f t="array" ref="G342">INDEX($G$336:$G$339,_xlfn.XMATCH(E342&amp;F342,$E$336:$E$339&amp;$F$336:$F$339,0))</f>
        <v/>
      </c>
      <c r="H342" s="80">
        <f>_xlfn.XLOOKUP(G342,$G$336:$G$339,$H$336:$H$339)</f>
        <v/>
      </c>
    </row>
    <row r="343">
      <c r="A343" s="2">
        <f>IF(B343&lt;&gt;"",SUM($B$128:B343),"")</f>
        <v/>
      </c>
      <c r="B343" s="2">
        <f>IF(C343&gt;0,1,"")</f>
        <v/>
      </c>
      <c r="C343" s="18">
        <f>D65</f>
        <v/>
      </c>
      <c r="D343" s="19" t="n"/>
      <c r="E343" s="19" t="n">
        <v>2.53</v>
      </c>
      <c r="F343" s="20">
        <f>$D$17</f>
        <v/>
      </c>
      <c r="G343" s="79">
        <f t="array" ref="G343">INDEX($G$336:$G$339,_xlfn.XMATCH(E343&amp;F343,$E$336:$E$339&amp;$F$336:$F$339,0))</f>
        <v/>
      </c>
      <c r="H343" s="80">
        <f>_xlfn.XLOOKUP(G343,$G$336:$G$339,$H$336:$H$339)</f>
        <v/>
      </c>
    </row>
    <row r="344">
      <c r="A344" s="2">
        <f>IF(B344&lt;&gt;"",SUM($B$128:B344),"")</f>
        <v/>
      </c>
      <c r="B344" s="2">
        <f>IF(C344&gt;0,1,"")</f>
        <v/>
      </c>
    </row>
    <row r="345">
      <c r="A345" s="2">
        <f>IF(B345&lt;&gt;"",SUM($B$128:B345),"")</f>
        <v/>
      </c>
      <c r="B345" s="2">
        <f>IF(C345&gt;0,1,"")</f>
        <v/>
      </c>
    </row>
    <row r="346">
      <c r="A346" s="2">
        <f>IF(B346&lt;&gt;"",SUM($B$128:B346),"")</f>
        <v/>
      </c>
      <c r="B346" s="2">
        <f>IF(C346&gt;0,1,"")</f>
        <v/>
      </c>
    </row>
    <row r="347">
      <c r="A347" s="2">
        <f>IF(B347&lt;&gt;"",SUM($B$128:B347),"")</f>
        <v/>
      </c>
      <c r="B347" s="2">
        <f>IF(C347&gt;0,1,"")</f>
        <v/>
      </c>
      <c r="C347" s="13" t="n"/>
      <c r="D347" s="14" t="n"/>
      <c r="E347" s="14" t="n"/>
      <c r="F347" s="15" t="inlineStr">
        <is>
          <t>Treatment</t>
        </is>
      </c>
    </row>
    <row r="348">
      <c r="A348" s="2">
        <f>IF(B348&lt;&gt;"",SUM($B$128:B348),"")</f>
        <v/>
      </c>
      <c r="B348" s="2">
        <f>IF(C348&gt;0,1,"")</f>
        <v/>
      </c>
      <c r="C348" s="16" t="n"/>
      <c r="F348" s="17" t="n">
        <v>0</v>
      </c>
      <c r="G348" s="79" t="inlineStr">
        <is>
          <t>43.09.06.0017</t>
        </is>
      </c>
      <c r="H348" s="79" t="inlineStr">
        <is>
          <t>Domino - Brace Connector - Galvanized</t>
        </is>
      </c>
    </row>
    <row r="349">
      <c r="A349" s="2">
        <f>IF(B349&lt;&gt;"",SUM($B$128:B349),"")</f>
        <v/>
      </c>
      <c r="B349" s="2">
        <f>IF(C349&gt;0,1,"")</f>
        <v/>
      </c>
      <c r="C349" s="16" t="n"/>
      <c r="F349" s="17" t="n">
        <v>1</v>
      </c>
      <c r="G349" s="79" t="inlineStr">
        <is>
          <t>43.09.06.0018</t>
        </is>
      </c>
      <c r="H349" s="79" t="inlineStr">
        <is>
          <t>Domino - Brace Connector - Powder Coated</t>
        </is>
      </c>
    </row>
    <row r="350">
      <c r="A350" s="2">
        <f>IF(B350&lt;&gt;"",SUM($B$128:B350),"")</f>
        <v/>
      </c>
      <c r="B350" s="2">
        <f>IF(C350&gt;0,1,"")</f>
        <v/>
      </c>
      <c r="C350" s="16" t="n"/>
      <c r="F350" s="17" t="n"/>
    </row>
    <row r="351">
      <c r="A351" s="2">
        <f>IF(B351&lt;&gt;"",SUM($B$128:B351),"")</f>
        <v/>
      </c>
      <c r="B351" s="2">
        <f>IF(C351&gt;0,1,"")</f>
        <v/>
      </c>
      <c r="C351" s="16" t="n"/>
      <c r="F351" s="17" t="n"/>
    </row>
    <row r="352">
      <c r="A352" s="2">
        <f>IF(B352&lt;&gt;"",SUM($B$128:B352),"")</f>
        <v/>
      </c>
      <c r="B352" s="2">
        <f>IF(C352&gt;0,1,"")</f>
        <v/>
      </c>
      <c r="C352" s="18">
        <f>IF(OR(D37=2,D37=3),(D63+D62)*2+D18*2*(D26-1)*D29,0)</f>
        <v/>
      </c>
      <c r="D352" s="19" t="n"/>
      <c r="E352" s="19" t="n"/>
      <c r="F352" s="20">
        <f>$D$17</f>
        <v/>
      </c>
      <c r="G352" s="79">
        <f t="array" ref="G352">INDEX($G$348:$G$349,_xlfn.XMATCH(F352,$F$348:$F$349,0))</f>
        <v/>
      </c>
      <c r="H352" s="80">
        <f>_xlfn.XLOOKUP(G352,$G$348:$G$349,$H$348:$H$349)</f>
        <v/>
      </c>
    </row>
    <row r="353">
      <c r="A353" s="2">
        <f>IF(B353&lt;&gt;"",SUM($B$128:B353),"")</f>
        <v/>
      </c>
      <c r="B353" s="2">
        <f>IF(C353&gt;0,1,"")</f>
        <v/>
      </c>
    </row>
    <row r="354">
      <c r="A354" s="2">
        <f>IF(B354&lt;&gt;"",SUM($B$128:B354),"")</f>
        <v/>
      </c>
      <c r="B354" s="2">
        <f>IF(C354&gt;0,1,"")</f>
        <v/>
      </c>
    </row>
    <row r="355">
      <c r="A355" s="2">
        <f>IF(B355&lt;&gt;"",SUM($B$128:B355),"")</f>
        <v/>
      </c>
      <c r="B355" s="2">
        <f>IF(C355&gt;0,1,"")</f>
        <v/>
      </c>
    </row>
    <row r="356">
      <c r="A356" s="2">
        <f>IF(B356&lt;&gt;"",SUM($B$128:B356),"")</f>
        <v/>
      </c>
      <c r="B356" s="2">
        <f>IF(C356&gt;0,1,"")</f>
        <v/>
      </c>
      <c r="C356" s="13" t="n"/>
      <c r="D356" s="14" t="n"/>
      <c r="E356" s="14" t="inlineStr">
        <is>
          <t>Version</t>
        </is>
      </c>
      <c r="F356" s="15" t="inlineStr">
        <is>
          <t>Treatment</t>
        </is>
      </c>
    </row>
    <row r="357">
      <c r="A357" s="2">
        <f>IF(B357&lt;&gt;"",SUM($B$128:B357),"")</f>
        <v/>
      </c>
      <c r="B357" s="2">
        <f>IF(C357&gt;0,1,"")</f>
        <v/>
      </c>
      <c r="C357" s="16" t="n"/>
      <c r="E357" s="2" t="n">
        <v>0</v>
      </c>
      <c r="F357" s="17" t="n">
        <v>0</v>
      </c>
      <c r="G357" s="79" t="inlineStr">
        <is>
          <t>43.06.14.0049</t>
        </is>
      </c>
      <c r="H357" s="79" t="inlineStr">
        <is>
          <t>Domino - Gate Column - 80x60x3 - L2260 - Galvanized</t>
        </is>
      </c>
    </row>
    <row r="358">
      <c r="A358" s="2">
        <f>IF(B358&lt;&gt;"",SUM($B$128:B358),"")</f>
        <v/>
      </c>
      <c r="B358" s="2">
        <f>IF(C358&gt;0,1,"")</f>
        <v/>
      </c>
      <c r="C358" s="16" t="n"/>
      <c r="E358" s="2" t="n">
        <v>1</v>
      </c>
      <c r="F358" s="17" t="n">
        <v>0</v>
      </c>
      <c r="G358" s="79" t="inlineStr">
        <is>
          <t>43.06.14.0050</t>
        </is>
      </c>
      <c r="H358" s="79" t="inlineStr">
        <is>
          <t xml:space="preserve">Domino - Gate Column - 80x60x3 - L2910 - Galvanized </t>
        </is>
      </c>
    </row>
    <row r="359">
      <c r="A359" s="2">
        <f>IF(B359&lt;&gt;"",SUM($B$128:B359),"")</f>
        <v/>
      </c>
      <c r="B359" s="2">
        <f>IF(C359&gt;0,1,"")</f>
        <v/>
      </c>
      <c r="C359" s="16" t="n"/>
      <c r="E359" s="2" t="n">
        <v>0</v>
      </c>
      <c r="F359" s="17" t="n">
        <v>1</v>
      </c>
      <c r="G359" s="79" t="inlineStr">
        <is>
          <t>43.06.14.0051</t>
        </is>
      </c>
      <c r="H359" s="79" t="inlineStr">
        <is>
          <t xml:space="preserve">Domino - Gate Column - 80x603 - L2260 - Powder Coated </t>
        </is>
      </c>
    </row>
    <row r="360">
      <c r="A360" s="2">
        <f>IF(B360&lt;&gt;"",SUM($B$128:B360),"")</f>
        <v/>
      </c>
      <c r="B360" s="2">
        <f>IF(C360&gt;0,1,"")</f>
        <v/>
      </c>
      <c r="C360" s="16" t="n"/>
      <c r="E360" s="2" t="n">
        <v>1</v>
      </c>
      <c r="F360" s="17" t="n">
        <v>1</v>
      </c>
      <c r="G360" s="79" t="inlineStr">
        <is>
          <t>43.06.14.0052</t>
        </is>
      </c>
      <c r="H360" s="79" t="inlineStr">
        <is>
          <t xml:space="preserve">Domino - Gate Column - 80x603 - L2910 - Powder Coated </t>
        </is>
      </c>
    </row>
    <row r="361">
      <c r="A361" s="2">
        <f>IF(B361&lt;&gt;"",SUM($B$128:B361),"")</f>
        <v/>
      </c>
      <c r="B361" s="2">
        <f>IF(C361&gt;0,1,"")</f>
        <v/>
      </c>
      <c r="C361" s="16" t="n"/>
      <c r="F361" s="17" t="n"/>
    </row>
    <row r="362">
      <c r="A362" s="2">
        <f>IF(B362&lt;&gt;"",SUM($B$128:B362),"")</f>
        <v/>
      </c>
      <c r="B362" s="2">
        <f>IF(C362&gt;0,1,"")</f>
        <v/>
      </c>
      <c r="C362" s="16" t="n"/>
      <c r="F362" s="17" t="n"/>
    </row>
    <row r="363">
      <c r="A363" s="2">
        <f>IF(B363&lt;&gt;"",SUM($B$128:B363),"")</f>
        <v/>
      </c>
      <c r="B363" s="2">
        <f>IF(C363&gt;0,1,"")</f>
        <v/>
      </c>
      <c r="C363" s="18">
        <f>(D52+D53)*2</f>
        <v/>
      </c>
      <c r="D363" s="19" t="n"/>
      <c r="E363" s="19">
        <f>$D$18</f>
        <v/>
      </c>
      <c r="F363" s="20">
        <f>$D$17</f>
        <v/>
      </c>
      <c r="G363" s="79">
        <f t="array" ref="G363">INDEX($G$357:$G$360,MATCH(E363&amp;F363,$E$357:$E$360&amp;$F$357:$F$360,0))</f>
        <v/>
      </c>
      <c r="H363" s="80">
        <f>_xlfn.XLOOKUP(G363,$G$357:$G$360,$H$357:$H$360)</f>
        <v/>
      </c>
    </row>
    <row r="364">
      <c r="A364" s="2">
        <f>IF(B364&lt;&gt;"",SUM($B$128:B364),"")</f>
        <v/>
      </c>
      <c r="B364" s="2">
        <f>IF(C364&gt;0,1,"")</f>
        <v/>
      </c>
    </row>
    <row r="365">
      <c r="A365" s="2">
        <f>IF(B365&lt;&gt;"",SUM($B$128:B365),"")</f>
        <v/>
      </c>
      <c r="B365" s="2">
        <f>IF(C365&gt;0,1,"")</f>
        <v/>
      </c>
    </row>
    <row r="366">
      <c r="A366" s="2">
        <f>IF(B366&lt;&gt;"",SUM($B$128:B366),"")</f>
        <v/>
      </c>
      <c r="B366" s="2">
        <f>IF(C366&gt;0,1,"")</f>
        <v/>
      </c>
    </row>
    <row r="367">
      <c r="A367" s="2">
        <f>IF(B367&lt;&gt;"",SUM($B$128:B367),"")</f>
        <v/>
      </c>
      <c r="B367" s="2">
        <f>IF(C367&gt;0,1,"")</f>
        <v/>
      </c>
      <c r="C367" s="13" t="n"/>
      <c r="D367" s="14" t="inlineStr">
        <is>
          <t>W</t>
        </is>
      </c>
      <c r="E367" s="14" t="inlineStr">
        <is>
          <t>Version</t>
        </is>
      </c>
      <c r="F367" s="15" t="inlineStr">
        <is>
          <t>Treatment</t>
        </is>
      </c>
    </row>
    <row r="368">
      <c r="A368" s="2">
        <f>IF(B368&lt;&gt;"",SUM($B$128:B368),"")</f>
        <v/>
      </c>
      <c r="B368" s="2">
        <f>IF(C368&gt;0,1,"")</f>
        <v/>
      </c>
      <c r="C368" s="16" t="n"/>
      <c r="D368" s="2" t="n">
        <v>930</v>
      </c>
      <c r="E368" s="2" t="n">
        <v>0</v>
      </c>
      <c r="F368" s="17" t="n">
        <v>0</v>
      </c>
      <c r="G368" s="79" t="inlineStr">
        <is>
          <t>43.32.03.0052</t>
        </is>
      </c>
      <c r="H368" s="79" t="inlineStr">
        <is>
          <t>Domino - Gate Frame - W930 - H2030 - Galvanized</t>
        </is>
      </c>
    </row>
    <row r="369">
      <c r="A369" s="2">
        <f>IF(B369&lt;&gt;"",SUM($B$128:B369),"")</f>
        <v/>
      </c>
      <c r="B369" s="2">
        <f>IF(C369&gt;0,1,"")</f>
        <v/>
      </c>
      <c r="C369" s="16" t="n"/>
      <c r="D369" s="2" t="n">
        <v>930</v>
      </c>
      <c r="E369" s="2" t="n">
        <v>1</v>
      </c>
      <c r="F369" s="17" t="n">
        <v>0</v>
      </c>
      <c r="G369" s="79" t="inlineStr">
        <is>
          <t>43.32.03.0053</t>
        </is>
      </c>
      <c r="H369" s="79" t="inlineStr">
        <is>
          <t>Domino - Gate Frame - W930 - H2680 - Galvanized</t>
        </is>
      </c>
    </row>
    <row r="370">
      <c r="A370" s="2">
        <f>IF(B370&lt;&gt;"",SUM($B$128:B370),"")</f>
        <v/>
      </c>
      <c r="B370" s="2">
        <f>IF(C370&gt;0,1,"")</f>
        <v/>
      </c>
      <c r="C370" s="16" t="n"/>
      <c r="D370" s="2" t="n">
        <v>1180</v>
      </c>
      <c r="E370" s="2" t="n">
        <v>0</v>
      </c>
      <c r="F370" s="17" t="n">
        <v>0</v>
      </c>
      <c r="G370" s="79" t="inlineStr">
        <is>
          <t>43.32.03.0054</t>
        </is>
      </c>
      <c r="H370" s="79" t="inlineStr">
        <is>
          <t>Domino - Gate Frame - W1180 - H2030 - Galvanized</t>
        </is>
      </c>
    </row>
    <row r="371">
      <c r="A371" s="2">
        <f>IF(B371&lt;&gt;"",SUM($B$128:B371),"")</f>
        <v/>
      </c>
      <c r="B371" s="2">
        <f>IF(C371&gt;0,1,"")</f>
        <v/>
      </c>
      <c r="C371" s="16" t="n"/>
      <c r="D371" s="2" t="n">
        <v>1180</v>
      </c>
      <c r="E371" s="2" t="n">
        <v>1</v>
      </c>
      <c r="F371" s="17" t="n">
        <v>0</v>
      </c>
      <c r="G371" s="79" t="inlineStr">
        <is>
          <t>43.32.03.0055</t>
        </is>
      </c>
      <c r="H371" s="79" t="inlineStr">
        <is>
          <t>Domino - Gate Frame - W1180 - H2680 - Galvanized</t>
        </is>
      </c>
    </row>
    <row r="372">
      <c r="A372" s="2">
        <f>IF(B372&lt;&gt;"",SUM($B$128:B372),"")</f>
        <v/>
      </c>
      <c r="B372" s="2">
        <f>IF(C372&gt;0,1,"")</f>
        <v/>
      </c>
      <c r="C372" s="16" t="n"/>
      <c r="D372" s="2" t="n">
        <v>930</v>
      </c>
      <c r="E372" s="2" t="n">
        <v>0</v>
      </c>
      <c r="F372" s="17" t="n">
        <v>1</v>
      </c>
      <c r="G372" s="79" t="inlineStr">
        <is>
          <t>43.32.03.0056</t>
        </is>
      </c>
      <c r="H372" s="79" t="inlineStr">
        <is>
          <t>Domino - Gate Frame - W930 - H2030 - Powder Coated</t>
        </is>
      </c>
    </row>
    <row r="373">
      <c r="A373" s="2">
        <f>IF(B373&lt;&gt;"",SUM($B$128:B373),"")</f>
        <v/>
      </c>
      <c r="B373" s="2">
        <f>IF(C373&gt;0,1,"")</f>
        <v/>
      </c>
      <c r="C373" s="16" t="n"/>
      <c r="D373" s="2" t="n">
        <v>930</v>
      </c>
      <c r="E373" s="2" t="n">
        <v>1</v>
      </c>
      <c r="F373" s="17" t="n">
        <v>1</v>
      </c>
      <c r="G373" s="79" t="inlineStr">
        <is>
          <t>43.32.03.0057</t>
        </is>
      </c>
      <c r="H373" s="79" t="inlineStr">
        <is>
          <t>Domino - Gate Frame - W930 - H2680 - Powder Coated</t>
        </is>
      </c>
    </row>
    <row r="374">
      <c r="A374" s="2">
        <f>IF(B374&lt;&gt;"",SUM($B$128:B374),"")</f>
        <v/>
      </c>
      <c r="B374" s="2">
        <f>IF(C374&gt;0,1,"")</f>
        <v/>
      </c>
      <c r="C374" s="16" t="n"/>
      <c r="D374" s="2" t="n">
        <v>1180</v>
      </c>
      <c r="E374" s="2" t="n">
        <v>0</v>
      </c>
      <c r="F374" s="17" t="n">
        <v>1</v>
      </c>
      <c r="G374" s="79" t="inlineStr">
        <is>
          <t>43.32.03.0058</t>
        </is>
      </c>
      <c r="H374" s="79" t="inlineStr">
        <is>
          <t>Domino - Gate Frame - W1180 - H2030 - Powder Coated</t>
        </is>
      </c>
    </row>
    <row r="375">
      <c r="A375" s="2">
        <f>IF(B375&lt;&gt;"",SUM($B$128:B375),"")</f>
        <v/>
      </c>
      <c r="B375" s="2">
        <f>IF(C375&gt;0,1,"")</f>
        <v/>
      </c>
      <c r="C375" s="16" t="n"/>
      <c r="D375" s="2" t="n">
        <v>1180</v>
      </c>
      <c r="E375" s="2" t="n">
        <v>1</v>
      </c>
      <c r="F375" s="17" t="n">
        <v>1</v>
      </c>
      <c r="G375" s="79" t="inlineStr">
        <is>
          <t>43.32.03.0059</t>
        </is>
      </c>
      <c r="H375" s="79" t="inlineStr">
        <is>
          <t>Domino - Gate Frame - W1180 - H2680 - Powder Coated</t>
        </is>
      </c>
    </row>
    <row r="376">
      <c r="A376" s="2">
        <f>IF(B376&lt;&gt;"",SUM($B$128:B376),"")</f>
        <v/>
      </c>
      <c r="B376" s="2">
        <f>IF(C376&gt;0,1,"")</f>
        <v/>
      </c>
      <c r="C376" s="16" t="n"/>
      <c r="F376" s="17" t="n"/>
      <c r="H376" s="79" t="n"/>
    </row>
    <row r="377">
      <c r="A377" s="2">
        <f>IF(B377&lt;&gt;"",SUM($B$128:B377),"")</f>
        <v/>
      </c>
      <c r="B377" s="2">
        <f>IF(C377&gt;0,1,"")</f>
        <v/>
      </c>
      <c r="C377" s="16" t="n"/>
      <c r="F377" s="17" t="n"/>
      <c r="H377" s="79" t="n"/>
    </row>
    <row r="378">
      <c r="A378" s="2">
        <f>IF(B378&lt;&gt;"",SUM($B$128:B378),"")</f>
        <v/>
      </c>
      <c r="B378" s="2">
        <f>IF(C378&gt;0,1,"")</f>
        <v/>
      </c>
      <c r="C378" s="16">
        <f>D54*2</f>
        <v/>
      </c>
      <c r="D378" s="2" t="n">
        <v>930</v>
      </c>
      <c r="E378" s="2">
        <f>$D$18</f>
        <v/>
      </c>
      <c r="F378" s="17">
        <f>$D$17</f>
        <v/>
      </c>
      <c r="G378" s="79">
        <f t="array" ref="G378">INDEX($G$368:$G$375,MATCH(D378&amp;E378&amp;F378,$D$368:$D$375&amp;$E$368:$E$375&amp;$F$368:$F$375,0))</f>
        <v/>
      </c>
      <c r="H378" s="79">
        <f>_xlfn.XLOOKUP(G378,$G$368:$G$375,$H$368:$H$375)</f>
        <v/>
      </c>
    </row>
    <row r="379">
      <c r="A379" s="2">
        <f>IF(B379&lt;&gt;"",SUM($B$128:B379),"")</f>
        <v/>
      </c>
      <c r="B379" s="2">
        <f>IF(C379&gt;0,1,"")</f>
        <v/>
      </c>
      <c r="C379" s="18">
        <f>D52+D53+2*D55</f>
        <v/>
      </c>
      <c r="D379" s="19" t="n">
        <v>1180</v>
      </c>
      <c r="E379" s="19">
        <f>$D$18</f>
        <v/>
      </c>
      <c r="F379" s="20">
        <f>$D$17</f>
        <v/>
      </c>
      <c r="G379" s="79">
        <f t="array" ref="G379">INDEX($G$368:$G$375,MATCH(D379&amp;E379&amp;F379,$D$368:$D$375&amp;$E$368:$E$375&amp;$F$368:$F$375,0))</f>
        <v/>
      </c>
      <c r="H379" s="79">
        <f>_xlfn.XLOOKUP(G379,$G$368:$G$375,$H$368:$H$375)</f>
        <v/>
      </c>
    </row>
    <row r="380">
      <c r="A380" s="2">
        <f>IF(B380&lt;&gt;"",SUM($B$128:B380),"")</f>
        <v/>
      </c>
      <c r="B380" s="2">
        <f>IF(C380&gt;0,1,"")</f>
        <v/>
      </c>
    </row>
    <row r="381">
      <c r="A381" s="2">
        <f>IF(B381&lt;&gt;"",SUM($B$128:B381),"")</f>
        <v/>
      </c>
      <c r="B381" s="2">
        <f>IF(C381&gt;0,1,"")</f>
        <v/>
      </c>
    </row>
    <row r="382">
      <c r="A382" s="2">
        <f>IF(B382&lt;&gt;"",SUM($B$128:B382),"")</f>
        <v/>
      </c>
      <c r="B382" s="2">
        <f>IF(C382&gt;0,1,"")</f>
        <v/>
      </c>
    </row>
    <row r="383">
      <c r="A383" s="2">
        <f>IF(B383&lt;&gt;"",SUM($B$128:B383),"")</f>
        <v/>
      </c>
      <c r="B383" s="2">
        <f>IF(C383&gt;0,1,"")</f>
        <v/>
      </c>
      <c r="C383" s="13" t="n"/>
      <c r="D383" s="14" t="n"/>
      <c r="E383" s="14" t="n"/>
      <c r="F383" s="15" t="inlineStr">
        <is>
          <t>Treatment</t>
        </is>
      </c>
    </row>
    <row r="384">
      <c r="A384" s="2">
        <f>IF(B384&lt;&gt;"",SUM($B$128:B384),"")</f>
        <v/>
      </c>
      <c r="B384" s="2">
        <f>IF(C384&gt;0,1,"")</f>
        <v/>
      </c>
      <c r="C384" s="16" t="n"/>
      <c r="F384" s="17" t="n">
        <v>0</v>
      </c>
      <c r="G384" s="79" t="inlineStr">
        <is>
          <t>43.32.03.0048</t>
        </is>
      </c>
      <c r="H384" s="79" t="inlineStr">
        <is>
          <t xml:space="preserve">Domino - Hinge Bracket - Galvanized  </t>
        </is>
      </c>
    </row>
    <row r="385">
      <c r="A385" s="2">
        <f>IF(B385&lt;&gt;"",SUM($B$128:B385),"")</f>
        <v/>
      </c>
      <c r="B385" s="2">
        <f>IF(C385&gt;0,1,"")</f>
        <v/>
      </c>
      <c r="C385" s="16" t="n"/>
      <c r="F385" s="17" t="n">
        <v>1</v>
      </c>
      <c r="G385" s="79" t="inlineStr">
        <is>
          <t>43.32.03.0049</t>
        </is>
      </c>
      <c r="H385" s="79" t="inlineStr">
        <is>
          <t xml:space="preserve">Domino - Hinge Bracket - Powder coated </t>
        </is>
      </c>
    </row>
    <row r="386">
      <c r="A386" s="2">
        <f>IF(B386&lt;&gt;"",SUM($B$128:B386),"")</f>
        <v/>
      </c>
      <c r="B386" s="2">
        <f>IF(C386&gt;0,1,"")</f>
        <v/>
      </c>
      <c r="C386" s="16" t="n"/>
      <c r="F386" s="17" t="n"/>
      <c r="H386" s="79" t="n"/>
    </row>
    <row r="387">
      <c r="A387" s="2">
        <f>IF(B387&lt;&gt;"",SUM($B$128:B387),"")</f>
        <v/>
      </c>
      <c r="B387" s="2">
        <f>IF(C387&gt;0,1,"")</f>
        <v/>
      </c>
      <c r="C387" s="16" t="n"/>
      <c r="F387" s="17" t="n"/>
      <c r="H387" s="79" t="n"/>
    </row>
    <row r="388">
      <c r="A388" s="2">
        <f>IF(B388&lt;&gt;"",SUM($B$128:B388),"")</f>
        <v/>
      </c>
      <c r="B388" s="2">
        <f>IF(C388&gt;0,1,"")</f>
        <v/>
      </c>
      <c r="C388" s="18">
        <f>(D52+D53)*2+(D54+D55)*4</f>
        <v/>
      </c>
      <c r="D388" s="19" t="n"/>
      <c r="E388" s="19" t="n"/>
      <c r="F388" s="20">
        <f>$D$17</f>
        <v/>
      </c>
      <c r="G388" s="79">
        <f t="array" ref="G388">INDEX($G$384:$G$385,_xlfn.XMATCH(F388,$F$384:$F$385,0))</f>
        <v/>
      </c>
      <c r="H388" s="79">
        <f>_xlfn.XLOOKUP(G388,$G$384:$G$385,$H$384:$H$385)</f>
        <v/>
      </c>
    </row>
    <row r="389">
      <c r="A389" s="2">
        <f>IF(B389&lt;&gt;"",SUM($B$128:B389),"")</f>
        <v/>
      </c>
      <c r="B389" s="2">
        <f>IF(C389&gt;0,1,"")</f>
        <v/>
      </c>
      <c r="H389" s="79" t="n"/>
    </row>
    <row r="390">
      <c r="A390" s="2">
        <f>IF(B390&lt;&gt;"",SUM($B$128:B390),"")</f>
        <v/>
      </c>
      <c r="B390" s="2">
        <f>IF(C390&gt;0,1,"")</f>
        <v/>
      </c>
      <c r="H390" s="79" t="n"/>
    </row>
    <row r="391">
      <c r="A391" s="2">
        <f>IF(B391&lt;&gt;"",SUM($B$128:B391),"")</f>
        <v/>
      </c>
      <c r="B391" s="2">
        <f>IF(C391&gt;0,1,"")</f>
        <v/>
      </c>
      <c r="H391" s="79" t="n"/>
    </row>
    <row r="392">
      <c r="A392" s="2">
        <f>IF(B392&lt;&gt;"",SUM($B$128:B392),"")</f>
        <v/>
      </c>
      <c r="B392" s="2">
        <f>IF(C392&gt;0,1,"")</f>
        <v/>
      </c>
      <c r="C392" s="13" t="n"/>
      <c r="D392" s="14" t="n"/>
      <c r="E392" s="14" t="n"/>
      <c r="F392" s="15" t="inlineStr">
        <is>
          <t>Treatment</t>
        </is>
      </c>
      <c r="H392" s="79" t="n"/>
    </row>
    <row r="393">
      <c r="A393" s="2">
        <f>IF(B393&lt;&gt;"",SUM($B$128:B393),"")</f>
        <v/>
      </c>
      <c r="B393" s="2">
        <f>IF(C393&gt;0,1,"")</f>
        <v/>
      </c>
      <c r="C393" s="16" t="n"/>
      <c r="F393" s="17" t="n">
        <v>0</v>
      </c>
      <c r="G393" s="79" t="inlineStr">
        <is>
          <t>43.32.03.0050</t>
        </is>
      </c>
      <c r="H393" s="79" t="inlineStr">
        <is>
          <t xml:space="preserve">Domino - Hinge L-Profile - Galvanized </t>
        </is>
      </c>
    </row>
    <row r="394">
      <c r="A394" s="2">
        <f>IF(B394&lt;&gt;"",SUM($B$128:B394),"")</f>
        <v/>
      </c>
      <c r="B394" s="2">
        <f>IF(C394&gt;0,1,"")</f>
        <v/>
      </c>
      <c r="C394" s="16" t="n"/>
      <c r="F394" s="17" t="n">
        <v>1</v>
      </c>
      <c r="G394" s="79" t="inlineStr">
        <is>
          <t>43.32.03.0051</t>
        </is>
      </c>
      <c r="H394" s="79" t="inlineStr">
        <is>
          <t>Domino - Hinge L-Profile - Powder coated</t>
        </is>
      </c>
    </row>
    <row r="395">
      <c r="A395" s="2">
        <f>IF(B395&lt;&gt;"",SUM($B$128:B395),"")</f>
        <v/>
      </c>
      <c r="B395" s="2">
        <f>IF(C395&gt;0,1,"")</f>
        <v/>
      </c>
      <c r="C395" s="16" t="n"/>
      <c r="F395" s="17" t="n"/>
      <c r="H395" s="79" t="n"/>
    </row>
    <row r="396">
      <c r="A396" s="2">
        <f>IF(B396&lt;&gt;"",SUM($B$128:B396),"")</f>
        <v/>
      </c>
      <c r="B396" s="2">
        <f>IF(C396&gt;0,1,"")</f>
        <v/>
      </c>
      <c r="C396" s="16" t="n"/>
      <c r="F396" s="17" t="n"/>
      <c r="H396" s="79" t="n"/>
    </row>
    <row r="397">
      <c r="A397" s="2">
        <f>IF(B397&lt;&gt;"",SUM($B$128:B397),"")</f>
        <v/>
      </c>
      <c r="B397" s="2">
        <f>IF(C397&gt;0,1,"")</f>
        <v/>
      </c>
      <c r="C397" s="18">
        <f>(D52+D53)*2+(D54+D55)*4</f>
        <v/>
      </c>
      <c r="D397" s="19" t="n"/>
      <c r="E397" s="19" t="n"/>
      <c r="F397" s="20">
        <f>$D$17</f>
        <v/>
      </c>
      <c r="G397" s="79">
        <f t="array" ref="G397">INDEX($G$393:$G$394,_xlfn.XMATCH(F397,$F$393:$F$394,0))</f>
        <v/>
      </c>
      <c r="H397" s="79">
        <f>_xlfn.XLOOKUP(G397,$G$393:$G$394,$H$393:$H$394)</f>
        <v/>
      </c>
    </row>
    <row r="398">
      <c r="A398" s="2">
        <f>IF(B398&lt;&gt;"",SUM($B$128:B398),"")</f>
        <v/>
      </c>
      <c r="B398" s="2">
        <f>IF(C398&gt;0,1,"")</f>
        <v/>
      </c>
      <c r="H398" s="79" t="n"/>
    </row>
    <row r="399">
      <c r="A399" s="2">
        <f>IF(B399&lt;&gt;"",SUM($B$128:B399),"")</f>
        <v/>
      </c>
      <c r="B399" s="2">
        <f>IF(C399&gt;0,1,"")</f>
        <v/>
      </c>
      <c r="H399" s="79" t="n"/>
    </row>
    <row r="400">
      <c r="A400" s="2">
        <f>IF(B400&lt;&gt;"",SUM($B$128:B400),"")</f>
        <v/>
      </c>
      <c r="B400" s="2">
        <f>IF(C400&gt;0,1,"")</f>
        <v/>
      </c>
      <c r="H400" s="79" t="n"/>
    </row>
    <row r="401">
      <c r="A401" s="2">
        <f>IF(B401&lt;&gt;"",SUM($B$128:B401),"")</f>
        <v/>
      </c>
      <c r="B401" s="2">
        <f>IF(C401&gt;0,1,"")</f>
        <v/>
      </c>
      <c r="C401" s="13" t="n"/>
      <c r="D401" s="14" t="n"/>
      <c r="E401" s="14" t="n"/>
      <c r="F401" s="15" t="n"/>
      <c r="H401" s="79" t="n"/>
    </row>
    <row r="402">
      <c r="A402" s="2">
        <f>IF(B402&lt;&gt;"",SUM($B$128:B402),"")</f>
        <v/>
      </c>
      <c r="B402" s="2">
        <f>IF(C402&gt;0,1,"")</f>
        <v/>
      </c>
      <c r="C402" s="16">
        <f>(D52+D53+D54+D55)*IF(D57=1,1,0)</f>
        <v/>
      </c>
      <c r="F402" s="17" t="n"/>
      <c r="G402" s="79" t="inlineStr">
        <is>
          <t>20.07.04.0009</t>
        </is>
      </c>
      <c r="H402" s="79" t="inlineStr">
        <is>
          <t>Keep - Locinox SFKO-QF-ALUM</t>
        </is>
      </c>
      <c r="M402" s="79" t="n"/>
      <c r="N402" s="79" t="n"/>
    </row>
    <row r="403">
      <c r="A403" s="2">
        <f>IF(B403&lt;&gt;"",SUM($B$128:B403),"")</f>
        <v/>
      </c>
      <c r="B403" s="2">
        <f>IF(C403&gt;0,1,"")</f>
        <v/>
      </c>
      <c r="C403" s="16">
        <f>(D52+D53)*2+(D54+D55)*4</f>
        <v/>
      </c>
      <c r="F403" s="17" t="n"/>
      <c r="G403" s="79" t="inlineStr">
        <is>
          <t>20.08.03.0117</t>
        </is>
      </c>
      <c r="H403" s="79" t="inlineStr">
        <is>
          <t>Eyebolt set - Locinox 1039SET-M16-65</t>
        </is>
      </c>
      <c r="M403" s="79" t="n"/>
      <c r="N403" s="79" t="n"/>
    </row>
    <row r="404">
      <c r="A404" s="2">
        <f>IF(B404&lt;&gt;"",SUM($B$128:B404),"")</f>
        <v/>
      </c>
      <c r="B404" s="2">
        <f>IF(C404&gt;0,1,"")</f>
        <v/>
      </c>
      <c r="C404" s="16">
        <f>(D54+D55)*IF(OR(D57=1,D57=2,D57=3),1,0)</f>
        <v/>
      </c>
      <c r="F404" s="17" t="n"/>
      <c r="G404" s="79" t="inlineStr">
        <is>
          <t>20.09.01.0039</t>
        </is>
      </c>
      <c r="H404" s="79" t="inlineStr">
        <is>
          <t>Drop bolt - Locinox VSF-K-QF1BL-ALUM</t>
        </is>
      </c>
      <c r="M404" s="79" t="n"/>
      <c r="N404" s="79" t="n"/>
    </row>
    <row r="405">
      <c r="A405" s="2">
        <f>IF(B405&lt;&gt;"",SUM($B$128:B405),"")</f>
        <v/>
      </c>
      <c r="B405" s="2">
        <f>IF(C405&gt;0,1,"")</f>
        <v/>
      </c>
      <c r="C405" s="16">
        <f>(D52+D53+D54+D55)*IF(D57=1,1,0)</f>
        <v/>
      </c>
      <c r="F405" s="17" t="n"/>
      <c r="G405" s="79" t="inlineStr">
        <is>
          <t>20.10.01.0017</t>
        </is>
      </c>
      <c r="H405" s="79" t="inlineStr">
        <is>
          <t>Cover shield (2 pcs) - Locinox 3020-HYB-ALU-SILV</t>
        </is>
      </c>
      <c r="M405" s="79" t="n"/>
      <c r="N405" s="79" t="n"/>
    </row>
    <row r="406">
      <c r="A406" s="2">
        <f>IF(B406&lt;&gt;"",SUM($B$128:B406),"")</f>
        <v/>
      </c>
      <c r="B406" s="2">
        <f>IF(C406&gt;0,1,"")</f>
        <v/>
      </c>
      <c r="C406" s="16">
        <f>(D54+D55)*IF(OR(D57=1,D57=2,D57=3),1,0)</f>
        <v/>
      </c>
      <c r="F406" s="17" t="n"/>
      <c r="G406" s="79" t="inlineStr">
        <is>
          <t>20.10.01.0018</t>
        </is>
      </c>
      <c r="H406" s="79" t="inlineStr">
        <is>
          <t>Adapter set - Locinox UNIWING-PC-ALUM</t>
        </is>
      </c>
    </row>
    <row r="407">
      <c r="A407" s="2">
        <f>IF(B407&lt;&gt;"",SUM($B$128:B407),"")</f>
        <v/>
      </c>
      <c r="B407" s="2">
        <f>IF(C407&gt;0,1,"")</f>
        <v/>
      </c>
      <c r="C407" s="16">
        <f>(D52+D53+D54+D55)*IF(OR(D57=1,D57=2,D57=3),1,0)</f>
        <v/>
      </c>
      <c r="F407" s="17" t="n"/>
      <c r="G407" s="79" t="inlineStr">
        <is>
          <t>20.10.03.0013</t>
        </is>
      </c>
      <c r="H407" s="79" t="inlineStr">
        <is>
          <t>Handle pair - Locinox 3006M-H</t>
        </is>
      </c>
    </row>
    <row r="408">
      <c r="A408" s="2">
        <f>IF(B408&lt;&gt;"",SUM($B$128:B408),"")</f>
        <v/>
      </c>
      <c r="B408" s="2">
        <f>IF(C408&gt;0,1,"")</f>
        <v/>
      </c>
      <c r="C408" s="16">
        <f>(D52+D53+D54+D55)*IF(OR(D57=1,D57=2,D57=3),1,0)</f>
        <v/>
      </c>
      <c r="F408" s="17" t="n"/>
      <c r="G408" s="79" t="inlineStr">
        <is>
          <t>20.10.09.0017</t>
        </is>
      </c>
      <c r="H408" s="79" t="inlineStr">
        <is>
          <t>Lock case - Locinox SIXTYLOCK</t>
        </is>
      </c>
    </row>
    <row r="409">
      <c r="A409" s="2">
        <f>IF(B409&lt;&gt;"",SUM($B$128:B409),"")</f>
        <v/>
      </c>
      <c r="B409" s="2">
        <f>IF(C409&gt;0,1,"")</f>
        <v/>
      </c>
      <c r="C409" s="16">
        <f>(D52+D53+D54+D55)*IF(OR(D37=1,D56=0),1,0)*IF(D57=2,1,0)</f>
        <v/>
      </c>
      <c r="F409" s="17" t="n"/>
      <c r="G409" s="79" t="inlineStr">
        <is>
          <t>20.06.05.0096</t>
        </is>
      </c>
      <c r="H409" s="79" t="inlineStr">
        <is>
          <t>Mechanical code lock - Double sided - Locinox VITA-40-VSZ-2 - P00036414</t>
        </is>
      </c>
    </row>
    <row r="410">
      <c r="A410" s="2">
        <f>IF(B410&lt;&gt;"",SUM($B$128:B410),"")</f>
        <v/>
      </c>
      <c r="B410" s="2">
        <f>IF(C410&gt;0,1,"")</f>
        <v/>
      </c>
      <c r="C410" s="16">
        <f>(D52+D53+D54+D55)*IF(D37=2,1,0)*IF(D57=2,1,0)*IF(D56=1,1,0)</f>
        <v/>
      </c>
      <c r="F410" s="17" t="n"/>
      <c r="G410" s="79" t="inlineStr">
        <is>
          <t>20.06.05.0097</t>
        </is>
      </c>
      <c r="H410" s="79" t="inlineStr">
        <is>
          <t>Mechanical code lock - Double sided - Locinox VITA-60-VSZ-2  - P00036417</t>
        </is>
      </c>
    </row>
    <row r="411">
      <c r="A411" s="2">
        <f>IF(B411&lt;&gt;"",SUM($B$128:B411),"")</f>
        <v/>
      </c>
      <c r="B411" s="2">
        <f>IF(C411&gt;0,1,"")</f>
        <v/>
      </c>
      <c r="C411" s="16">
        <f>(D52+D53+D54+D55)*IF(OR(D37=1,D56=0),1,0)*IF(D57=3,1,0)</f>
        <v/>
      </c>
      <c r="F411" s="17" t="n"/>
      <c r="G411" s="79" t="inlineStr">
        <is>
          <t>20.06.05.0098</t>
        </is>
      </c>
      <c r="H411" s="79" t="inlineStr">
        <is>
          <t>Battery powered code lock - Double sided - Locinox VERA-40-VSZ-2  - P00019406</t>
        </is>
      </c>
    </row>
    <row r="412">
      <c r="A412" s="2">
        <f>IF(B412&lt;&gt;"",SUM($B$128:B412),"")</f>
        <v/>
      </c>
      <c r="B412" s="2">
        <f>IF(C412&gt;0,1,"")</f>
        <v/>
      </c>
      <c r="C412" s="16">
        <f>(D52+D53+D54+D55)*IF(D37=2,1,0)*IF(D57=3,1,0)*IF(D56=1,1,0)</f>
        <v/>
      </c>
      <c r="F412" s="17" t="n"/>
      <c r="G412" s="79" t="inlineStr">
        <is>
          <t>20.06.05.0099</t>
        </is>
      </c>
      <c r="H412" s="79" t="inlineStr">
        <is>
          <t>Battery powered code lock - Double sided - Locinox VERA-60-VSZ-2  - P00019407</t>
        </is>
      </c>
    </row>
    <row r="413">
      <c r="A413" s="2">
        <f>IF(B413&lt;&gt;"",SUM($B$128:B413),"")</f>
        <v/>
      </c>
      <c r="B413" s="2">
        <f>IF(C413&gt;0,1,"")</f>
        <v/>
      </c>
      <c r="C413" s="16">
        <f>(D52+D53+D54+D55)*IF(OR(D57=2,D57=3),1,0)</f>
        <v/>
      </c>
      <c r="F413" s="17" t="n"/>
      <c r="G413" s="79" t="inlineStr">
        <is>
          <t>20.07.04.0010</t>
        </is>
      </c>
      <c r="H413" s="79" t="inlineStr">
        <is>
          <t>Keep for code locks - Locinox SFKO-V-ALUM - P00036294</t>
        </is>
      </c>
    </row>
    <row r="414">
      <c r="A414" s="2">
        <f>IF(B414&lt;&gt;"",SUM($B$128:B414),"")</f>
        <v/>
      </c>
      <c r="B414" s="2">
        <f>IF(C414&gt;0,1,"")</f>
        <v/>
      </c>
      <c r="C414" s="16">
        <f>(D52+D53+D54+D55)*IF(OR(D37=1,D56=0),1,0)*IF(D57=1,1,0)</f>
        <v/>
      </c>
      <c r="F414" s="17" t="n"/>
      <c r="G414" s="79" t="inlineStr">
        <is>
          <t>20.10.02.0021</t>
        </is>
      </c>
      <c r="H414" s="79" t="inlineStr">
        <is>
          <t>Euro Cylinder with 3 keys - 30/30mm</t>
        </is>
      </c>
    </row>
    <row r="415">
      <c r="A415" s="2">
        <f>IF(B415&lt;&gt;"",SUM($B$128:B415),"")</f>
        <v/>
      </c>
      <c r="B415" s="2">
        <f>IF(C415&gt;0,1,"")</f>
        <v/>
      </c>
      <c r="C415" s="16">
        <f>(D52+D53+D54+D55)*IF(D37=2,1,0)*IF(D57=1,1,0)*IF(D56=1,1,0)</f>
        <v/>
      </c>
      <c r="F415" s="17" t="n"/>
      <c r="G415" s="79" t="inlineStr">
        <is>
          <t>20.10.02.0023</t>
        </is>
      </c>
      <c r="H415" s="79" t="inlineStr">
        <is>
          <t>Euro Cylinder with 3 keys - 30/50mm</t>
        </is>
      </c>
    </row>
    <row r="416">
      <c r="A416" s="2">
        <f>IF(B416&lt;&gt;"",SUM($B$128:B416),"")</f>
        <v/>
      </c>
      <c r="B416" s="2">
        <f>IF(C416&gt;0,1,"")</f>
        <v/>
      </c>
      <c r="C416" s="16">
        <f>(D52+D53+D54+D55)*IF(D37=2,1,0)*IF(D57=3,1,0)*IF(D56=1,1,0)</f>
        <v/>
      </c>
      <c r="F416" s="17" t="n"/>
      <c r="G416" s="79" t="inlineStr">
        <is>
          <t>20.10.02.0041</t>
        </is>
      </c>
      <c r="H416" s="79" t="inlineStr">
        <is>
          <t>Euro Cylinder with 3 keys - 50/55mm</t>
        </is>
      </c>
    </row>
    <row r="417">
      <c r="A417" s="2">
        <f>IF(B417&lt;&gt;"",SUM($B$128:B417),"")</f>
        <v/>
      </c>
      <c r="B417" s="2">
        <f>IF(C417&gt;0,1,"")</f>
        <v/>
      </c>
      <c r="C417" s="18">
        <f>(D52+D53+D54+D55)*IF(D37=2,1,0)*IF(D57=2,1,0)*IF(D56=1,1,0)</f>
        <v/>
      </c>
      <c r="D417" s="19" t="n"/>
      <c r="E417" s="19" t="n"/>
      <c r="F417" s="20" t="n"/>
      <c r="G417" s="79" t="inlineStr">
        <is>
          <t>20.10.02.0039</t>
        </is>
      </c>
      <c r="H417" s="79" t="inlineStr">
        <is>
          <t>Euro Cylinder with 3 keys - 50/70mm</t>
        </is>
      </c>
    </row>
    <row r="418">
      <c r="A418" s="2">
        <f>IF(B418&lt;&gt;"",SUM($B$128:B418),"")</f>
        <v/>
      </c>
      <c r="B418" s="2">
        <f>IF(C418&gt;0,1,"")</f>
        <v/>
      </c>
      <c r="H418" s="79" t="n"/>
    </row>
    <row r="419">
      <c r="A419" s="2">
        <f>IF(B419&lt;&gt;"",SUM($B$128:B419),"")</f>
        <v/>
      </c>
      <c r="B419" s="2">
        <f>IF(C419&gt;0,1,"")</f>
        <v/>
      </c>
    </row>
    <row r="420">
      <c r="A420" s="2">
        <f>IF(B420&lt;&gt;"",SUM($B$128:B420),"")</f>
        <v/>
      </c>
      <c r="B420" s="2">
        <f>IF(C420&gt;0,1,"")</f>
        <v/>
      </c>
    </row>
    <row r="421">
      <c r="A421" s="2">
        <f>IF(B421&lt;&gt;"",SUM($B$128:B421),"")</f>
        <v/>
      </c>
      <c r="B421" s="2">
        <f>IF(C421&gt;0,1,"")</f>
        <v/>
      </c>
      <c r="C421" s="13" t="n"/>
      <c r="D421" s="14" t="n"/>
      <c r="E421" s="14" t="inlineStr">
        <is>
          <t>PLUS</t>
        </is>
      </c>
      <c r="F421" s="15" t="inlineStr">
        <is>
          <t>L</t>
        </is>
      </c>
    </row>
    <row r="422">
      <c r="A422" s="2">
        <f>IF(B422&lt;&gt;"",SUM($B$128:B422),"")</f>
        <v/>
      </c>
      <c r="B422" s="2">
        <f>IF(C422&gt;0,1,"")</f>
        <v/>
      </c>
      <c r="C422" s="16" t="n"/>
      <c r="E422" s="2" t="n">
        <v>0</v>
      </c>
      <c r="F422" s="17" t="n">
        <v>2.03</v>
      </c>
      <c r="G422" s="79" t="inlineStr">
        <is>
          <t>40.01.01.0014</t>
        </is>
      </c>
      <c r="H422" s="79" t="inlineStr">
        <is>
          <t>Wooden panel - Type A1 - Thermowood - WxH=950x2150mm</t>
        </is>
      </c>
    </row>
    <row r="423">
      <c r="A423" s="2">
        <f>IF(B423&lt;&gt;"",SUM($B$128:B423),"")</f>
        <v/>
      </c>
      <c r="B423" s="2">
        <f>IF(C423&gt;0,1,"")</f>
        <v/>
      </c>
      <c r="C423" s="16" t="n"/>
      <c r="E423" s="2" t="n">
        <v>1</v>
      </c>
      <c r="F423" s="17" t="n">
        <v>2.03</v>
      </c>
      <c r="G423" s="79" t="inlineStr">
        <is>
          <t>40.01.01.0015</t>
        </is>
      </c>
      <c r="H423" s="79" t="inlineStr">
        <is>
          <t>Wooden panel - Type A2 - Thermowood - WxH=950x2800mm</t>
        </is>
      </c>
    </row>
    <row r="424">
      <c r="A424" s="2">
        <f>IF(B424&lt;&gt;"",SUM($B$128:B424),"")</f>
        <v/>
      </c>
      <c r="B424" s="2">
        <f>IF(C424&gt;0,1,"")</f>
        <v/>
      </c>
      <c r="C424" s="16" t="n"/>
      <c r="E424" s="2" t="n">
        <v>0</v>
      </c>
      <c r="F424" s="17" t="n">
        <v>2.53</v>
      </c>
      <c r="G424" s="79" t="inlineStr">
        <is>
          <t>40.01.01.0016</t>
        </is>
      </c>
      <c r="H424" s="79" t="inlineStr">
        <is>
          <t>Wooden panel - Type B1 - Thermowood - WxH=1195x2150mm</t>
        </is>
      </c>
    </row>
    <row r="425">
      <c r="A425" s="2">
        <f>IF(B425&lt;&gt;"",SUM($B$128:B425),"")</f>
        <v/>
      </c>
      <c r="B425" s="2">
        <f>IF(C425&gt;0,1,"")</f>
        <v/>
      </c>
      <c r="C425" s="16" t="n"/>
      <c r="E425" s="2" t="n">
        <v>1</v>
      </c>
      <c r="F425" s="17" t="n">
        <v>2.53</v>
      </c>
      <c r="G425" s="79" t="inlineStr">
        <is>
          <t>40.01.01.0017</t>
        </is>
      </c>
      <c r="H425" s="79" t="inlineStr">
        <is>
          <t>Wooden panel - Type B2 - Thermowood - WxH=1195x2800mm</t>
        </is>
      </c>
    </row>
    <row r="426">
      <c r="A426" s="2">
        <f>IF(B426&lt;&gt;"",SUM($B$128:B426),"")</f>
        <v/>
      </c>
      <c r="B426" s="2">
        <f>IF(C426&gt;0,1,"")</f>
        <v/>
      </c>
      <c r="C426" s="16" t="n"/>
      <c r="F426" s="17" t="n"/>
    </row>
    <row r="427">
      <c r="A427" s="2">
        <f>IF(B427&lt;&gt;"",SUM($B$128:B427),"")</f>
        <v/>
      </c>
      <c r="B427" s="2">
        <f>IF(C427&gt;0,1,"")</f>
        <v/>
      </c>
      <c r="C427" s="16" t="n"/>
      <c r="F427" s="17" t="n"/>
    </row>
    <row r="428">
      <c r="A428" s="2">
        <f>IF(B428&lt;&gt;"",SUM($B$128:B428),"")</f>
        <v/>
      </c>
      <c r="B428" s="2">
        <f>IF(C428&gt;0,1,"")</f>
        <v/>
      </c>
      <c r="C428" s="16">
        <f>IF(D37=2,2*D43+4*D45+6*D47-2*D48,0)*D56</f>
        <v/>
      </c>
      <c r="E428" s="2">
        <f>$D$18</f>
        <v/>
      </c>
      <c r="F428" s="17" t="n">
        <v>2.03</v>
      </c>
      <c r="G428" s="79">
        <f t="array" ref="G428">INDEX($G$422:$G$425,_xlfn.XMATCH(E428&amp;F428,$E$422:$E$425&amp;$F$422:$F$425,0))</f>
        <v/>
      </c>
      <c r="H428" s="80">
        <f>_xlfn.XLOOKUP(G428,$G$422:$G$425,$H$422:$H$425)</f>
        <v/>
      </c>
    </row>
    <row r="429">
      <c r="A429" s="2">
        <f>IF(B429&lt;&gt;"",SUM($B$128:B429),"")</f>
        <v/>
      </c>
      <c r="B429" s="2">
        <f>IF(C429&gt;0,1,"")</f>
        <v/>
      </c>
      <c r="C429" s="18">
        <f>IF(D37=2,2*D44+4*D46-2*D49,0)*D56</f>
        <v/>
      </c>
      <c r="D429" s="19" t="n"/>
      <c r="E429" s="19">
        <f>$D$18</f>
        <v/>
      </c>
      <c r="F429" s="20" t="n">
        <v>2.53</v>
      </c>
      <c r="G429" s="79">
        <f t="array" ref="G429">INDEX($G$422:$G$425,_xlfn.XMATCH(E429&amp;F429,$E$422:$E$425&amp;$F$422:$F$425,0))</f>
        <v/>
      </c>
      <c r="H429" s="80">
        <f>_xlfn.XLOOKUP(G429,$G$422:$G$425,$H$422:$H$425)</f>
        <v/>
      </c>
    </row>
    <row r="430">
      <c r="A430" s="2">
        <f>IF(B430&lt;&gt;"",SUM($B$128:B430),"")</f>
        <v/>
      </c>
      <c r="B430" s="2">
        <f>IF(C430&gt;0,1,"")</f>
        <v/>
      </c>
    </row>
    <row r="431">
      <c r="A431" s="2">
        <f>IF(B431&lt;&gt;"",SUM($B$128:B431),"")</f>
        <v/>
      </c>
      <c r="B431" s="2">
        <f>IF(C431&gt;0,1,"")</f>
        <v/>
      </c>
    </row>
    <row r="432">
      <c r="A432" s="2">
        <f>IF(B432&lt;&gt;"",SUM($B$128:B432),"")</f>
        <v/>
      </c>
      <c r="B432" s="2">
        <f>IF(C432&gt;0,1,"")</f>
        <v/>
      </c>
    </row>
    <row r="433">
      <c r="A433" s="2">
        <f>IF(B433&lt;&gt;"",SUM($B$128:B433),"")</f>
        <v/>
      </c>
      <c r="B433" s="2">
        <f>IF(C433&gt;0,1,"")</f>
        <v/>
      </c>
      <c r="C433" s="13" t="n"/>
      <c r="D433" s="14" t="n"/>
      <c r="E433" s="14" t="n"/>
      <c r="F433" s="15" t="n"/>
    </row>
    <row r="434">
      <c r="A434" s="2">
        <f>IF(B434&lt;&gt;"",SUM($B$128:B434),"")</f>
        <v/>
      </c>
      <c r="B434" s="2">
        <f>IF(C434&gt;0,1,"")</f>
        <v/>
      </c>
      <c r="C434" s="16">
        <f>(CEILING((C428+C429)/3,3)+(D52+D54)*20+(D53+D55)*25)*IF((D18=0)*(D37=2)*(D56=1),1,0)</f>
        <v/>
      </c>
      <c r="F434" s="17" t="n"/>
      <c r="G434" s="79" t="inlineStr">
        <is>
          <t>09.01.06.0012</t>
        </is>
      </c>
      <c r="H434" s="80" t="inlineStr">
        <is>
          <t>Thermowood - 90x20x2150mm - 4-sided planed - rounded edges</t>
        </is>
      </c>
    </row>
    <row r="435">
      <c r="A435" s="2">
        <f>IF(B435&lt;&gt;"",SUM($B$128:B435),"")</f>
        <v/>
      </c>
      <c r="B435" s="2">
        <f>IF(C435&gt;0,1,"")</f>
        <v/>
      </c>
      <c r="C435" s="16">
        <f>(CEILING((C428+C429)/3,3)+(D52+D54)*20+(D53+D55)*25)*IF((D18=1)*(D37=2)*(D56=1),1,0)</f>
        <v/>
      </c>
      <c r="F435" s="17" t="n"/>
      <c r="G435" s="79" t="inlineStr">
        <is>
          <t>09.01.06.0013</t>
        </is>
      </c>
      <c r="H435" s="80" t="inlineStr">
        <is>
          <t>Thermowood - 90x20x2800mm - 4-sided planed - rounded edges</t>
        </is>
      </c>
    </row>
    <row r="436">
      <c r="A436" s="2">
        <f>IF(B436&lt;&gt;"",SUM($B$128:B436),"")</f>
        <v/>
      </c>
      <c r="B436" s="2">
        <f>IF(C436&gt;0,1,"")</f>
        <v/>
      </c>
      <c r="C436" s="16">
        <f>ROUNDUP(C428/9,0)*IF((D37=2)*(D56=1),1,0)</f>
        <v/>
      </c>
      <c r="F436" s="17" t="n"/>
      <c r="G436" s="79" t="inlineStr">
        <is>
          <t>09.01.06.0014</t>
        </is>
      </c>
      <c r="H436" s="80" t="inlineStr">
        <is>
          <t>Thermowood - 44x22x950mm - 4-sided planed</t>
        </is>
      </c>
    </row>
    <row r="437">
      <c r="A437" s="2">
        <f>IF(B437&lt;&gt;"",SUM($B$128:B437),"")</f>
        <v/>
      </c>
      <c r="B437" s="2">
        <f>IF(C437&gt;0,1,"")</f>
        <v/>
      </c>
      <c r="C437" s="16">
        <f>(ROUNDUP(C429/9,0)+ROUNDUP((D52+D53*2)*(1+D18)*1.1,0))*IF((D37=2)*(D56=1),1,0)</f>
        <v/>
      </c>
      <c r="F437" s="17" t="n"/>
      <c r="G437" s="79" t="inlineStr">
        <is>
          <t>09.01.06.0015</t>
        </is>
      </c>
      <c r="H437" s="80" t="inlineStr">
        <is>
          <t>Thermowood - 44x22x1195mm - 4-sided planed</t>
        </is>
      </c>
    </row>
    <row r="438">
      <c r="A438" s="2">
        <f>IF(B438&lt;&gt;"",SUM($B$128:B438),"")</f>
        <v/>
      </c>
      <c r="B438" s="2">
        <f>IF(C438&gt;0,1,"")</f>
        <v/>
      </c>
      <c r="C438" s="16">
        <f>ROUNDUP(D52*2*1.1,0)*IF((D18=0)*(D37=2)*(D56=1),1,0)</f>
        <v/>
      </c>
      <c r="F438" s="17" t="n"/>
      <c r="G438" s="79" t="inlineStr">
        <is>
          <t>09.01.06.0016</t>
        </is>
      </c>
      <c r="H438" s="80" t="inlineStr">
        <is>
          <t>Thermowood - 44x20x2150mm - 4-sided planed - rounded edges</t>
        </is>
      </c>
    </row>
    <row r="439">
      <c r="A439" s="2">
        <f>IF(B439&lt;&gt;"",SUM($B$128:B439),"")</f>
        <v/>
      </c>
      <c r="B439" s="2">
        <f>IF(C439&gt;0,1,"")</f>
        <v/>
      </c>
      <c r="C439" s="18">
        <f>ROUNDUP(D52*2*1.1,0)*IF((D18=1)*(D37=2)*(D56=1),1,0)</f>
        <v/>
      </c>
      <c r="D439" s="19" t="n"/>
      <c r="E439" s="19" t="n"/>
      <c r="F439" s="20" t="n"/>
      <c r="G439" s="79" t="inlineStr">
        <is>
          <t>09.01.06.0017</t>
        </is>
      </c>
      <c r="H439" s="80" t="inlineStr">
        <is>
          <t>Thermowood - 44x20x2800mm - 4-sided planed - rounded edges</t>
        </is>
      </c>
    </row>
    <row r="440">
      <c r="A440" s="2">
        <f>IF(B440&lt;&gt;"",SUM($B$128:B440),"")</f>
        <v/>
      </c>
      <c r="B440" s="2">
        <f>IF(C440&gt;0,1,"")</f>
        <v/>
      </c>
    </row>
    <row r="441">
      <c r="A441" s="2">
        <f>IF(B441&lt;&gt;"",SUM($B$128:B441),"")</f>
        <v/>
      </c>
      <c r="B441" s="2">
        <f>IF(C441&gt;0,1,"")</f>
        <v/>
      </c>
    </row>
    <row r="442">
      <c r="A442" s="2">
        <f>IF(B442&lt;&gt;"",SUM($B$128:B442),"")</f>
        <v/>
      </c>
      <c r="B442" s="2">
        <f>IF(C442&gt;0,1,"")</f>
        <v/>
      </c>
    </row>
    <row r="443">
      <c r="A443" s="2">
        <f>IF(B443&lt;&gt;"",SUM($B$128:B443),"")</f>
        <v/>
      </c>
      <c r="B443" s="2">
        <f>IF(C443&gt;0,1,"")</f>
        <v/>
      </c>
      <c r="C443" s="13" t="n"/>
      <c r="D443" s="14" t="inlineStr">
        <is>
          <t>W</t>
        </is>
      </c>
      <c r="E443" s="14" t="inlineStr">
        <is>
          <t>H</t>
        </is>
      </c>
      <c r="F443" s="15" t="inlineStr">
        <is>
          <t>Finish</t>
        </is>
      </c>
    </row>
    <row r="444">
      <c r="A444" s="2">
        <f>IF(B444&lt;&gt;"",SUM($B$128:B444),"")</f>
        <v/>
      </c>
      <c r="B444" s="2">
        <f>IF(C444&gt;0,1,"")</f>
        <v/>
      </c>
      <c r="C444" s="16" t="n"/>
      <c r="D444" s="2" t="n">
        <v>2000</v>
      </c>
      <c r="E444" s="2" t="n">
        <v>2030</v>
      </c>
      <c r="F444" s="17" t="n">
        <v>1</v>
      </c>
      <c r="G444" s="79" t="inlineStr">
        <is>
          <t>20.01.11.0012</t>
        </is>
      </c>
      <c r="H444" s="80" t="inlineStr">
        <is>
          <t>Mesh Panel - 2D - 6/5/6 - W2000H2030 - RAL6005 - Cut</t>
        </is>
      </c>
    </row>
    <row r="445">
      <c r="A445" s="2">
        <f>IF(B445&lt;&gt;"",SUM($B$128:B445),"")</f>
        <v/>
      </c>
      <c r="B445" s="2">
        <f>IF(C445&gt;0,1,"")</f>
        <v/>
      </c>
      <c r="C445" s="16" t="n"/>
      <c r="D445" s="2" t="n">
        <v>2000</v>
      </c>
      <c r="E445" s="2" t="n">
        <v>2030</v>
      </c>
      <c r="F445" s="17" t="n">
        <v>2</v>
      </c>
      <c r="G445" s="79" t="inlineStr">
        <is>
          <t>20.01.11.0013</t>
        </is>
      </c>
      <c r="H445" s="80" t="inlineStr">
        <is>
          <t>Mesh Panel - 2D - 6/5/6 - W2000H2030 - RAL7016 - Cut</t>
        </is>
      </c>
    </row>
    <row r="446">
      <c r="A446" s="2">
        <f>IF(B446&lt;&gt;"",SUM($B$128:B446),"")</f>
        <v/>
      </c>
      <c r="B446" s="2">
        <f>IF(C446&gt;0,1,"")</f>
        <v/>
      </c>
      <c r="C446" s="16" t="n"/>
      <c r="D446" s="2" t="n">
        <v>2000</v>
      </c>
      <c r="E446" s="2" t="n">
        <v>2030</v>
      </c>
      <c r="F446" s="17" t="n">
        <v>3</v>
      </c>
      <c r="G446" s="79" t="inlineStr">
        <is>
          <t>20.01.11.0014</t>
        </is>
      </c>
      <c r="H446" s="80" t="inlineStr">
        <is>
          <t>Mesh Panel - 2D - 6/5/6 - W2000H2030 - RAL9005 - Cut</t>
        </is>
      </c>
    </row>
    <row r="447">
      <c r="A447" s="2">
        <f>IF(B447&lt;&gt;"",SUM($B$128:B447),"")</f>
        <v/>
      </c>
      <c r="B447" s="2">
        <f>IF(C447&gt;0,1,"")</f>
        <v/>
      </c>
      <c r="C447" s="16" t="n"/>
      <c r="D447" s="2" t="n">
        <v>2000</v>
      </c>
      <c r="E447" s="2" t="n">
        <v>2030</v>
      </c>
      <c r="F447" s="17" t="n">
        <v>4</v>
      </c>
      <c r="G447" s="79" t="inlineStr">
        <is>
          <t>20.01.11.0015</t>
        </is>
      </c>
      <c r="H447" s="80" t="inlineStr">
        <is>
          <t>Mesh Panel - 2D - 6/5/6 - W2000H2030 - Galvanized - Cut</t>
        </is>
      </c>
    </row>
    <row r="448">
      <c r="A448" s="2">
        <f>IF(B448&lt;&gt;"",SUM($B$128:B448),"")</f>
        <v/>
      </c>
      <c r="B448" s="2">
        <f>IF(C448&gt;0,1,"")</f>
        <v/>
      </c>
      <c r="C448" s="16" t="n"/>
      <c r="D448" s="2" t="n">
        <v>2000</v>
      </c>
      <c r="E448" s="2" t="n">
        <v>630</v>
      </c>
      <c r="F448" s="17" t="n">
        <v>1</v>
      </c>
      <c r="G448" s="79" t="inlineStr">
        <is>
          <t>20.01.11.0016</t>
        </is>
      </c>
      <c r="H448" s="80" t="inlineStr">
        <is>
          <t>Mesh Panel - 2D - 6/5/6 - W2000H630 - RAL6005 - Cut</t>
        </is>
      </c>
    </row>
    <row r="449">
      <c r="A449" s="2">
        <f>IF(B449&lt;&gt;"",SUM($B$128:B449),"")</f>
        <v/>
      </c>
      <c r="B449" s="2">
        <f>IF(C449&gt;0,1,"")</f>
        <v/>
      </c>
      <c r="C449" s="16" t="n"/>
      <c r="D449" s="2" t="n">
        <v>2000</v>
      </c>
      <c r="E449" s="2" t="n">
        <v>630</v>
      </c>
      <c r="F449" s="17" t="n">
        <v>2</v>
      </c>
      <c r="G449" s="79" t="inlineStr">
        <is>
          <t>20.01.11.0017</t>
        </is>
      </c>
      <c r="H449" s="80" t="inlineStr">
        <is>
          <t>Mesh Panel - 2D - 6/5/6 - W2000H630 - RAL7016 - Cut</t>
        </is>
      </c>
    </row>
    <row r="450">
      <c r="A450" s="2">
        <f>IF(B450&lt;&gt;"",SUM($B$128:B450),"")</f>
        <v/>
      </c>
      <c r="B450" s="2">
        <f>IF(C450&gt;0,1,"")</f>
        <v/>
      </c>
      <c r="C450" s="16" t="n"/>
      <c r="D450" s="2" t="n">
        <v>2000</v>
      </c>
      <c r="E450" s="2" t="n">
        <v>630</v>
      </c>
      <c r="F450" s="17" t="n">
        <v>3</v>
      </c>
      <c r="G450" s="79" t="inlineStr">
        <is>
          <t>20.01.11.0018</t>
        </is>
      </c>
      <c r="H450" s="80" t="inlineStr">
        <is>
          <t>Mesh Panel - 2D - 6/5/6 - W2000H630 - RAL9005 - Cut</t>
        </is>
      </c>
    </row>
    <row r="451">
      <c r="A451" s="2">
        <f>IF(B451&lt;&gt;"",SUM($B$128:B451),"")</f>
        <v/>
      </c>
      <c r="B451" s="2">
        <f>IF(C451&gt;0,1,"")</f>
        <v/>
      </c>
      <c r="C451" s="16" t="n"/>
      <c r="D451" s="2" t="n">
        <v>2000</v>
      </c>
      <c r="E451" s="2" t="n">
        <v>630</v>
      </c>
      <c r="F451" s="17" t="n">
        <v>4</v>
      </c>
      <c r="G451" s="79" t="inlineStr">
        <is>
          <t>20.01.11.0019</t>
        </is>
      </c>
      <c r="H451" s="80" t="inlineStr">
        <is>
          <t>Mesh Panel - 2D - 6/5/6 - W2000H630 - Galvanized - Cut</t>
        </is>
      </c>
    </row>
    <row r="452">
      <c r="A452" s="2">
        <f>IF(B452&lt;&gt;"",SUM($B$128:B452),"")</f>
        <v/>
      </c>
      <c r="B452" s="2">
        <f>IF(C452&gt;0,1,"")</f>
        <v/>
      </c>
      <c r="C452" s="16" t="n"/>
      <c r="D452" s="2" t="n">
        <v>1150</v>
      </c>
      <c r="E452" s="2" t="n">
        <v>2030</v>
      </c>
      <c r="F452" s="17" t="n">
        <v>1</v>
      </c>
      <c r="G452" s="79" t="inlineStr">
        <is>
          <t>20.01.11.0020</t>
        </is>
      </c>
      <c r="H452" s="80" t="inlineStr">
        <is>
          <t>Mesh Panel - 2D - 6/5/6 - W1150H2030 - RAL6005 - Cut</t>
        </is>
      </c>
    </row>
    <row r="453">
      <c r="A453" s="2">
        <f>IF(B453&lt;&gt;"",SUM($B$128:B453),"")</f>
        <v/>
      </c>
      <c r="B453" s="2">
        <f>IF(C453&gt;0,1,"")</f>
        <v/>
      </c>
      <c r="C453" s="16" t="n"/>
      <c r="D453" s="2" t="n">
        <v>1150</v>
      </c>
      <c r="E453" s="2" t="n">
        <v>2030</v>
      </c>
      <c r="F453" s="17" t="n">
        <v>2</v>
      </c>
      <c r="G453" s="79" t="inlineStr">
        <is>
          <t>20.01.11.0021</t>
        </is>
      </c>
      <c r="H453" s="80" t="inlineStr">
        <is>
          <t>Mesh Panel - 2D - 6/5/6 - W1150H2030 - RAL7016 - Cut</t>
        </is>
      </c>
    </row>
    <row r="454">
      <c r="A454" s="2">
        <f>IF(B454&lt;&gt;"",SUM($B$128:B454),"")</f>
        <v/>
      </c>
      <c r="B454" s="2">
        <f>IF(C454&gt;0,1,"")</f>
        <v/>
      </c>
      <c r="C454" s="16" t="n"/>
      <c r="D454" s="2" t="n">
        <v>1150</v>
      </c>
      <c r="E454" s="2" t="n">
        <v>2030</v>
      </c>
      <c r="F454" s="17" t="n">
        <v>3</v>
      </c>
      <c r="G454" s="79" t="inlineStr">
        <is>
          <t>20.01.11.0022</t>
        </is>
      </c>
      <c r="H454" s="80" t="inlineStr">
        <is>
          <t>Mesh Panel - 2D - 6/5/6 - W1150H2030 - RAL9005 - Cut</t>
        </is>
      </c>
    </row>
    <row r="455">
      <c r="A455" s="2">
        <f>IF(B455&lt;&gt;"",SUM($B$128:B455),"")</f>
        <v/>
      </c>
      <c r="B455" s="2">
        <f>IF(C455&gt;0,1,"")</f>
        <v/>
      </c>
      <c r="C455" s="16" t="n"/>
      <c r="D455" s="2" t="n">
        <v>1150</v>
      </c>
      <c r="E455" s="2" t="n">
        <v>2030</v>
      </c>
      <c r="F455" s="17" t="n">
        <v>4</v>
      </c>
      <c r="G455" s="79" t="inlineStr">
        <is>
          <t>20.01.11.0023</t>
        </is>
      </c>
      <c r="H455" s="80" t="inlineStr">
        <is>
          <t>Mesh Panel - 2D - 6/5/6 - W1150H2030 - Galvanized - Cut</t>
        </is>
      </c>
    </row>
    <row r="456">
      <c r="A456" s="2">
        <f>IF(B456&lt;&gt;"",SUM($B$128:B456),"")</f>
        <v/>
      </c>
      <c r="B456" s="2">
        <f>IF(C456&gt;0,1,"")</f>
        <v/>
      </c>
      <c r="C456" s="16" t="n"/>
      <c r="D456" s="2" t="n">
        <v>1150</v>
      </c>
      <c r="E456" s="2" t="n">
        <v>630</v>
      </c>
      <c r="F456" s="17" t="n">
        <v>1</v>
      </c>
      <c r="G456" s="79" t="inlineStr">
        <is>
          <t>20.01.11.0024</t>
        </is>
      </c>
      <c r="H456" s="80" t="inlineStr">
        <is>
          <t>Mesh Panel - 2D - 6/5/6 - W1150H630 - RAL6005 - Cut</t>
        </is>
      </c>
    </row>
    <row r="457">
      <c r="A457" s="2">
        <f>IF(B457&lt;&gt;"",SUM($B$128:B457),"")</f>
        <v/>
      </c>
      <c r="B457" s="2">
        <f>IF(C457&gt;0,1,"")</f>
        <v/>
      </c>
      <c r="C457" s="16" t="n"/>
      <c r="D457" s="2" t="n">
        <v>1150</v>
      </c>
      <c r="E457" s="2" t="n">
        <v>630</v>
      </c>
      <c r="F457" s="17" t="n">
        <v>2</v>
      </c>
      <c r="G457" s="79" t="inlineStr">
        <is>
          <t>20.01.11.0025</t>
        </is>
      </c>
      <c r="H457" s="80" t="inlineStr">
        <is>
          <t>Mesh Panel - 2D - 6/5/6 - W1150H630 - RAL7016 - Cut</t>
        </is>
      </c>
    </row>
    <row r="458">
      <c r="A458" s="2">
        <f>IF(B458&lt;&gt;"",SUM($B$128:B458),"")</f>
        <v/>
      </c>
      <c r="B458" s="2">
        <f>IF(C458&gt;0,1,"")</f>
        <v/>
      </c>
      <c r="C458" s="16" t="n"/>
      <c r="D458" s="2" t="n">
        <v>1150</v>
      </c>
      <c r="E458" s="2" t="n">
        <v>630</v>
      </c>
      <c r="F458" s="17" t="n">
        <v>3</v>
      </c>
      <c r="G458" s="79" t="inlineStr">
        <is>
          <t>20.01.11.0026</t>
        </is>
      </c>
      <c r="H458" s="80" t="inlineStr">
        <is>
          <t>Mesh Panel - 2D - 6/5/6 - W1150H630 - RAL9005 - Cut</t>
        </is>
      </c>
    </row>
    <row r="459">
      <c r="A459" s="2">
        <f>IF(B459&lt;&gt;"",SUM($B$128:B459),"")</f>
        <v/>
      </c>
      <c r="B459" s="2">
        <f>IF(C459&gt;0,1,"")</f>
        <v/>
      </c>
      <c r="C459" s="16" t="n"/>
      <c r="D459" s="2" t="n">
        <v>1150</v>
      </c>
      <c r="E459" s="2" t="n">
        <v>630</v>
      </c>
      <c r="F459" s="17" t="n">
        <v>4</v>
      </c>
      <c r="G459" s="79" t="inlineStr">
        <is>
          <t>20.01.11.0027</t>
        </is>
      </c>
      <c r="H459" s="80" t="inlineStr">
        <is>
          <t>Mesh Panel - 2D - 6/5/6 - W1150H630 - Galvanized - Cut</t>
        </is>
      </c>
    </row>
    <row r="460">
      <c r="A460" s="2">
        <f>IF(B460&lt;&gt;"",SUM($B$128:B460),"")</f>
        <v/>
      </c>
      <c r="B460" s="2">
        <f>IF(C460&gt;0,1,"")</f>
        <v/>
      </c>
      <c r="C460" s="16" t="n"/>
      <c r="D460" s="2" t="n">
        <v>900</v>
      </c>
      <c r="E460" s="2" t="n">
        <v>2030</v>
      </c>
      <c r="F460" s="17" t="n">
        <v>1</v>
      </c>
      <c r="G460" s="79" t="inlineStr">
        <is>
          <t>20.01.11.0028</t>
        </is>
      </c>
      <c r="H460" s="80" t="inlineStr">
        <is>
          <t>Mesh Panel - 2D - 6/5/6 - W900H2030 - RAL6005 - Cut</t>
        </is>
      </c>
    </row>
    <row r="461">
      <c r="A461" s="2">
        <f>IF(B461&lt;&gt;"",SUM($B$128:B461),"")</f>
        <v/>
      </c>
      <c r="B461" s="2">
        <f>IF(C461&gt;0,1,"")</f>
        <v/>
      </c>
      <c r="C461" s="16" t="n"/>
      <c r="D461" s="2" t="n">
        <v>900</v>
      </c>
      <c r="E461" s="2" t="n">
        <v>2030</v>
      </c>
      <c r="F461" s="17" t="n">
        <v>2</v>
      </c>
      <c r="G461" s="79" t="inlineStr">
        <is>
          <t>20.01.11.0029</t>
        </is>
      </c>
      <c r="H461" s="80" t="inlineStr">
        <is>
          <t>Mesh Panel - 2D - 6/5/6 - W900H2030 - RAL7016 - Cut</t>
        </is>
      </c>
    </row>
    <row r="462">
      <c r="A462" s="2">
        <f>IF(B462&lt;&gt;"",SUM($B$128:B462),"")</f>
        <v/>
      </c>
      <c r="B462" s="2">
        <f>IF(C462&gt;0,1,"")</f>
        <v/>
      </c>
      <c r="C462" s="16" t="n"/>
      <c r="D462" s="2" t="n">
        <v>900</v>
      </c>
      <c r="E462" s="2" t="n">
        <v>2030</v>
      </c>
      <c r="F462" s="17" t="n">
        <v>3</v>
      </c>
      <c r="G462" s="79" t="inlineStr">
        <is>
          <t>20.01.11.0030</t>
        </is>
      </c>
      <c r="H462" s="80" t="inlineStr">
        <is>
          <t>Mesh Panel - 2D - 6/5/6 - W900H2030 - RAL9005 - Cut</t>
        </is>
      </c>
    </row>
    <row r="463">
      <c r="A463" s="2">
        <f>IF(B463&lt;&gt;"",SUM($B$128:B463),"")</f>
        <v/>
      </c>
      <c r="B463" s="2">
        <f>IF(C463&gt;0,1,"")</f>
        <v/>
      </c>
      <c r="C463" s="16" t="n"/>
      <c r="D463" s="2" t="n">
        <v>900</v>
      </c>
      <c r="E463" s="2" t="n">
        <v>2030</v>
      </c>
      <c r="F463" s="17" t="n">
        <v>4</v>
      </c>
      <c r="G463" s="79" t="inlineStr">
        <is>
          <t>20.01.11.0031</t>
        </is>
      </c>
      <c r="H463" s="80" t="inlineStr">
        <is>
          <t>Mesh Panel - 2D - 6/5/6 - W900H2030 - Galvanized - Cut</t>
        </is>
      </c>
    </row>
    <row r="464">
      <c r="A464" s="2">
        <f>IF(B464&lt;&gt;"",SUM($B$128:B464),"")</f>
        <v/>
      </c>
      <c r="B464" s="2">
        <f>IF(C464&gt;0,1,"")</f>
        <v/>
      </c>
      <c r="C464" s="16" t="n"/>
      <c r="D464" s="2" t="n">
        <v>900</v>
      </c>
      <c r="E464" s="2" t="n">
        <v>630</v>
      </c>
      <c r="F464" s="17" t="n">
        <v>1</v>
      </c>
      <c r="G464" s="79" t="inlineStr">
        <is>
          <t>20.01.11.0032</t>
        </is>
      </c>
      <c r="H464" s="80" t="inlineStr">
        <is>
          <t>Mesh Panel - 2D - 6/5/6 - W900H630 - RAL6005 - Cut</t>
        </is>
      </c>
    </row>
    <row r="465">
      <c r="A465" s="2">
        <f>IF(B465&lt;&gt;"",SUM($B$128:B465),"")</f>
        <v/>
      </c>
      <c r="B465" s="2">
        <f>IF(C465&gt;0,1,"")</f>
        <v/>
      </c>
      <c r="C465" s="16" t="n"/>
      <c r="D465" s="2" t="n">
        <v>900</v>
      </c>
      <c r="E465" s="2" t="n">
        <v>630</v>
      </c>
      <c r="F465" s="17" t="n">
        <v>2</v>
      </c>
      <c r="G465" s="79" t="inlineStr">
        <is>
          <t>20.01.11.0033</t>
        </is>
      </c>
      <c r="H465" s="80" t="inlineStr">
        <is>
          <t>Mesh Panel - 2D - 6/5/6 - W900H630 - RAL7016 - Cut</t>
        </is>
      </c>
    </row>
    <row r="466">
      <c r="A466" s="2">
        <f>IF(B466&lt;&gt;"",SUM($B$128:B466),"")</f>
        <v/>
      </c>
      <c r="B466" s="2">
        <f>IF(C466&gt;0,1,"")</f>
        <v/>
      </c>
      <c r="C466" s="16" t="n"/>
      <c r="D466" s="2" t="n">
        <v>900</v>
      </c>
      <c r="E466" s="2" t="n">
        <v>630</v>
      </c>
      <c r="F466" s="17" t="n">
        <v>3</v>
      </c>
      <c r="G466" s="79" t="inlineStr">
        <is>
          <t>20.01.11.0034</t>
        </is>
      </c>
      <c r="H466" s="80" t="inlineStr">
        <is>
          <t>Mesh Panel - 2D - 6/5/6 - W900H630 - RAL9005 - Cut</t>
        </is>
      </c>
    </row>
    <row r="467">
      <c r="A467" s="2">
        <f>IF(B467&lt;&gt;"",SUM($B$128:B467),"")</f>
        <v/>
      </c>
      <c r="B467" s="2">
        <f>IF(C467&gt;0,1,"")</f>
        <v/>
      </c>
      <c r="C467" s="16" t="n"/>
      <c r="D467" s="2" t="n">
        <v>900</v>
      </c>
      <c r="E467" s="2" t="n">
        <v>630</v>
      </c>
      <c r="F467" s="17" t="n">
        <v>4</v>
      </c>
      <c r="G467" s="79" t="inlineStr">
        <is>
          <t>20.01.11.0035</t>
        </is>
      </c>
      <c r="H467" s="80" t="inlineStr">
        <is>
          <t>Mesh Panel - 2D - 6/5/6 - W900H630 - Galvanized - Cut</t>
        </is>
      </c>
    </row>
    <row r="468">
      <c r="A468" s="2">
        <f>IF(B468&lt;&gt;"",SUM($B$128:B468),"")</f>
        <v/>
      </c>
      <c r="B468" s="2">
        <f>IF(C468&gt;0,1,"")</f>
        <v/>
      </c>
      <c r="C468" s="16" t="n"/>
      <c r="D468" s="2" t="n">
        <v>600</v>
      </c>
      <c r="E468" s="2" t="n">
        <v>2030</v>
      </c>
      <c r="F468" s="17" t="n">
        <v>1</v>
      </c>
      <c r="G468" s="79" t="inlineStr">
        <is>
          <t>20.01.11.0036</t>
        </is>
      </c>
      <c r="H468" s="80" t="inlineStr">
        <is>
          <t>Mesh Panel - 2D - 6/5/6 - W600H2030 - RAL6005 - Cut</t>
        </is>
      </c>
    </row>
    <row r="469">
      <c r="A469" s="2">
        <f>IF(B469&lt;&gt;"",SUM($B$128:B469),"")</f>
        <v/>
      </c>
      <c r="B469" s="2">
        <f>IF(C469&gt;0,1,"")</f>
        <v/>
      </c>
      <c r="C469" s="16" t="n"/>
      <c r="D469" s="2" t="n">
        <v>600</v>
      </c>
      <c r="E469" s="2" t="n">
        <v>2030</v>
      </c>
      <c r="F469" s="17" t="n">
        <v>2</v>
      </c>
      <c r="G469" s="79" t="inlineStr">
        <is>
          <t>20.01.11.0037</t>
        </is>
      </c>
      <c r="H469" s="80" t="inlineStr">
        <is>
          <t>Mesh Panel - 2D - 6/5/6 - W600H2030 - RAL7016 - Cut</t>
        </is>
      </c>
    </row>
    <row r="470">
      <c r="A470" s="2">
        <f>IF(B470&lt;&gt;"",SUM($B$128:B470),"")</f>
        <v/>
      </c>
      <c r="B470" s="2">
        <f>IF(C470&gt;0,1,"")</f>
        <v/>
      </c>
      <c r="C470" s="16" t="n"/>
      <c r="D470" s="2" t="n">
        <v>600</v>
      </c>
      <c r="E470" s="2" t="n">
        <v>2030</v>
      </c>
      <c r="F470" s="17" t="n">
        <v>3</v>
      </c>
      <c r="G470" s="79" t="inlineStr">
        <is>
          <t>20.01.11.0038</t>
        </is>
      </c>
      <c r="H470" s="80" t="inlineStr">
        <is>
          <t>Mesh Panel - 2D - 6/5/6 - W600H2030 - RAL9005 - Cut</t>
        </is>
      </c>
    </row>
    <row r="471">
      <c r="A471" s="2">
        <f>IF(B471&lt;&gt;"",SUM($B$128:B471),"")</f>
        <v/>
      </c>
      <c r="B471" s="2">
        <f>IF(C471&gt;0,1,"")</f>
        <v/>
      </c>
      <c r="C471" s="16" t="n"/>
      <c r="D471" s="2" t="n">
        <v>600</v>
      </c>
      <c r="E471" s="2" t="n">
        <v>2030</v>
      </c>
      <c r="F471" s="17" t="n">
        <v>4</v>
      </c>
      <c r="G471" s="79" t="inlineStr">
        <is>
          <t>20.01.11.0039</t>
        </is>
      </c>
      <c r="H471" s="80" t="inlineStr">
        <is>
          <t>Mesh Panel - 2D - 6/5/6 - W600H2030 - Galvanized - Cut</t>
        </is>
      </c>
    </row>
    <row r="472">
      <c r="A472" s="2">
        <f>IF(B472&lt;&gt;"",SUM($B$128:B472),"")</f>
        <v/>
      </c>
      <c r="B472" s="2">
        <f>IF(C472&gt;0,1,"")</f>
        <v/>
      </c>
      <c r="C472" s="16" t="n"/>
      <c r="D472" s="2" t="n">
        <v>600</v>
      </c>
      <c r="E472" s="2" t="n">
        <v>630</v>
      </c>
      <c r="F472" s="17" t="n">
        <v>1</v>
      </c>
      <c r="G472" s="79" t="inlineStr">
        <is>
          <t>20.01.11.0040</t>
        </is>
      </c>
      <c r="H472" s="80" t="inlineStr">
        <is>
          <t>Mesh Panel - 2D - 6/5/6 - W600H630 - RAL6005 - Cut</t>
        </is>
      </c>
    </row>
    <row r="473">
      <c r="A473" s="2">
        <f>IF(B473&lt;&gt;"",SUM($B$128:B473),"")</f>
        <v/>
      </c>
      <c r="B473" s="2">
        <f>IF(C473&gt;0,1,"")</f>
        <v/>
      </c>
      <c r="C473" s="16" t="n"/>
      <c r="D473" s="2" t="n">
        <v>600</v>
      </c>
      <c r="E473" s="2" t="n">
        <v>630</v>
      </c>
      <c r="F473" s="17" t="n">
        <v>2</v>
      </c>
      <c r="G473" s="79" t="inlineStr">
        <is>
          <t>20.01.11.0041</t>
        </is>
      </c>
      <c r="H473" s="80" t="inlineStr">
        <is>
          <t>Mesh Panel - 2D - 6/5/6 - W600H630 - RAL7016 - Cut</t>
        </is>
      </c>
    </row>
    <row r="474">
      <c r="A474" s="2">
        <f>IF(B474&lt;&gt;"",SUM($B$128:B474),"")</f>
        <v/>
      </c>
      <c r="B474" s="2">
        <f>IF(C474&gt;0,1,"")</f>
        <v/>
      </c>
      <c r="C474" s="16" t="n"/>
      <c r="D474" s="2" t="n">
        <v>600</v>
      </c>
      <c r="E474" s="2" t="n">
        <v>630</v>
      </c>
      <c r="F474" s="17" t="n">
        <v>3</v>
      </c>
      <c r="G474" s="79" t="inlineStr">
        <is>
          <t>20.01.11.0042</t>
        </is>
      </c>
      <c r="H474" s="80" t="inlineStr">
        <is>
          <t>Mesh Panel - 2D - 6/5/6 - W600H630 - RAL9005 - Cut</t>
        </is>
      </c>
    </row>
    <row r="475">
      <c r="A475" s="2">
        <f>IF(B475&lt;&gt;"",SUM($B$128:B475),"")</f>
        <v/>
      </c>
      <c r="B475" s="2">
        <f>IF(C475&gt;0,1,"")</f>
        <v/>
      </c>
      <c r="C475" s="16" t="n"/>
      <c r="D475" s="2" t="n">
        <v>600</v>
      </c>
      <c r="E475" s="2" t="n">
        <v>630</v>
      </c>
      <c r="F475" s="17" t="n">
        <v>4</v>
      </c>
      <c r="G475" s="79" t="inlineStr">
        <is>
          <t>20.01.11.0043</t>
        </is>
      </c>
      <c r="H475" s="80" t="inlineStr">
        <is>
          <t>Mesh Panel - 2D - 6/5/6 - W600H630 - Galvanized - Cut</t>
        </is>
      </c>
    </row>
    <row r="476">
      <c r="A476" s="2">
        <f>IF(B476&lt;&gt;"",SUM($B$128:B476),"")</f>
        <v/>
      </c>
      <c r="B476" s="2">
        <f>IF(C476&gt;0,1,"")</f>
        <v/>
      </c>
      <c r="C476" s="16" t="n"/>
      <c r="D476" s="2" t="n">
        <v>350</v>
      </c>
      <c r="E476" s="2" t="n">
        <v>2030</v>
      </c>
      <c r="F476" s="17" t="n">
        <v>1</v>
      </c>
      <c r="G476" s="79" t="inlineStr">
        <is>
          <t>20.01.11.0044</t>
        </is>
      </c>
      <c r="H476" s="80" t="inlineStr">
        <is>
          <t>Mesh Panel - 2D - 6/5/6 - W350H2030 - RAL6005 - Cut</t>
        </is>
      </c>
    </row>
    <row r="477">
      <c r="A477" s="2">
        <f>IF(B477&lt;&gt;"",SUM($B$128:B477),"")</f>
        <v/>
      </c>
      <c r="B477" s="2">
        <f>IF(C477&gt;0,1,"")</f>
        <v/>
      </c>
      <c r="C477" s="16" t="n"/>
      <c r="D477" s="2" t="n">
        <v>350</v>
      </c>
      <c r="E477" s="2" t="n">
        <v>2030</v>
      </c>
      <c r="F477" s="17" t="n">
        <v>2</v>
      </c>
      <c r="G477" s="79" t="inlineStr">
        <is>
          <t>20.01.11.0045</t>
        </is>
      </c>
      <c r="H477" s="80" t="inlineStr">
        <is>
          <t>Mesh Panel - 2D - 6/5/6 - W350H2030 - RAL7016 - Cut</t>
        </is>
      </c>
    </row>
    <row r="478">
      <c r="A478" s="2">
        <f>IF(B478&lt;&gt;"",SUM($B$128:B478),"")</f>
        <v/>
      </c>
      <c r="B478" s="2">
        <f>IF(C478&gt;0,1,"")</f>
        <v/>
      </c>
      <c r="C478" s="16" t="n"/>
      <c r="D478" s="2" t="n">
        <v>350</v>
      </c>
      <c r="E478" s="2" t="n">
        <v>2030</v>
      </c>
      <c r="F478" s="17" t="n">
        <v>3</v>
      </c>
      <c r="G478" s="79" t="inlineStr">
        <is>
          <t>20.01.11.0046</t>
        </is>
      </c>
      <c r="H478" s="80" t="inlineStr">
        <is>
          <t>Mesh Panel - 2D - 6/5/6 - W350H2030 - RAL9005 - Cut</t>
        </is>
      </c>
    </row>
    <row r="479">
      <c r="A479" s="2">
        <f>IF(B479&lt;&gt;"",SUM($B$128:B479),"")</f>
        <v/>
      </c>
      <c r="B479" s="2">
        <f>IF(C479&gt;0,1,"")</f>
        <v/>
      </c>
      <c r="C479" s="16" t="n"/>
      <c r="D479" s="2" t="n">
        <v>350</v>
      </c>
      <c r="E479" s="2" t="n">
        <v>2030</v>
      </c>
      <c r="F479" s="17" t="n">
        <v>4</v>
      </c>
      <c r="G479" s="79" t="inlineStr">
        <is>
          <t>20.01.11.0047</t>
        </is>
      </c>
      <c r="H479" s="80" t="inlineStr">
        <is>
          <t>Mesh Panel - 2D - 6/5/6 - W350H2030 - Galvanized - Cut</t>
        </is>
      </c>
    </row>
    <row r="480">
      <c r="A480" s="2">
        <f>IF(B480&lt;&gt;"",SUM($B$128:B480),"")</f>
        <v/>
      </c>
      <c r="B480" s="2">
        <f>IF(C480&gt;0,1,"")</f>
        <v/>
      </c>
      <c r="C480" s="16" t="n"/>
      <c r="D480" s="2" t="n">
        <v>350</v>
      </c>
      <c r="E480" s="2" t="n">
        <v>630</v>
      </c>
      <c r="F480" s="17" t="n">
        <v>1</v>
      </c>
      <c r="G480" s="79" t="inlineStr">
        <is>
          <t>20.01.11.0048</t>
        </is>
      </c>
      <c r="H480" s="80" t="inlineStr">
        <is>
          <t>Mesh Panel - 2D - 6/5/6 - W350H630 - RAL6005 - Cut</t>
        </is>
      </c>
    </row>
    <row r="481">
      <c r="A481" s="2">
        <f>IF(B481&lt;&gt;"",SUM($B$128:B481),"")</f>
        <v/>
      </c>
      <c r="B481" s="2">
        <f>IF(C481&gt;0,1,"")</f>
        <v/>
      </c>
      <c r="C481" s="16" t="n"/>
      <c r="D481" s="2" t="n">
        <v>350</v>
      </c>
      <c r="E481" s="2" t="n">
        <v>630</v>
      </c>
      <c r="F481" s="17" t="n">
        <v>2</v>
      </c>
      <c r="G481" s="79" t="inlineStr">
        <is>
          <t>20.01.11.0049</t>
        </is>
      </c>
      <c r="H481" s="80" t="inlineStr">
        <is>
          <t>Mesh Panel - 2D - 6/5/6 - W350H630 - RAL7016 - Cut</t>
        </is>
      </c>
    </row>
    <row r="482">
      <c r="A482" s="2">
        <f>IF(B482&lt;&gt;"",SUM($B$128:B482),"")</f>
        <v/>
      </c>
      <c r="B482" s="2">
        <f>IF(C482&gt;0,1,"")</f>
        <v/>
      </c>
      <c r="C482" s="16" t="n"/>
      <c r="D482" s="2" t="n">
        <v>350</v>
      </c>
      <c r="E482" s="2" t="n">
        <v>630</v>
      </c>
      <c r="F482" s="17" t="n">
        <v>3</v>
      </c>
      <c r="G482" s="79" t="inlineStr">
        <is>
          <t>20.01.11.0050</t>
        </is>
      </c>
      <c r="H482" s="80" t="inlineStr">
        <is>
          <t>Mesh Panel - 2D - 6/5/6 - W350H630 - RAL9005 - Cut</t>
        </is>
      </c>
    </row>
    <row r="483">
      <c r="A483" s="2">
        <f>IF(B483&lt;&gt;"",SUM($B$128:B483),"")</f>
        <v/>
      </c>
      <c r="B483" s="2">
        <f>IF(C483&gt;0,1,"")</f>
        <v/>
      </c>
      <c r="C483" s="16" t="n"/>
      <c r="D483" s="2" t="n">
        <v>350</v>
      </c>
      <c r="E483" s="2" t="n">
        <v>630</v>
      </c>
      <c r="F483" s="17" t="n">
        <v>4</v>
      </c>
      <c r="G483" s="79" t="inlineStr">
        <is>
          <t>20.01.11.0051</t>
        </is>
      </c>
      <c r="H483" s="80" t="inlineStr">
        <is>
          <t>Mesh Panel - 2D - 6/5/6 - W350H630 - Galvanized - Cut</t>
        </is>
      </c>
    </row>
    <row r="484">
      <c r="A484" s="2">
        <f>IF(B484&lt;&gt;"",SUM($B$128:B484),"")</f>
        <v/>
      </c>
      <c r="B484" s="2">
        <f>IF(C484&gt;0,1,"")</f>
        <v/>
      </c>
      <c r="C484" s="16" t="n"/>
      <c r="D484" s="2" t="n">
        <v>2500</v>
      </c>
      <c r="E484" s="2" t="n">
        <v>2030</v>
      </c>
      <c r="F484" s="17" t="n">
        <v>1</v>
      </c>
      <c r="G484" s="79" t="inlineStr">
        <is>
          <t>20.01.12.0001</t>
        </is>
      </c>
      <c r="H484" s="80" t="inlineStr">
        <is>
          <t>Mesh Panel - 2D - 6/5/6 - W2500H2030 - RAL6005</t>
        </is>
      </c>
    </row>
    <row r="485">
      <c r="A485" s="2">
        <f>IF(B485&lt;&gt;"",SUM($B$128:B485),"")</f>
        <v/>
      </c>
      <c r="B485" s="2">
        <f>IF(C485&gt;0,1,"")</f>
        <v/>
      </c>
      <c r="C485" s="16" t="n"/>
      <c r="D485" s="2" t="n">
        <v>2500</v>
      </c>
      <c r="E485" s="2" t="n">
        <v>2030</v>
      </c>
      <c r="F485" s="17" t="n">
        <v>2</v>
      </c>
      <c r="G485" s="79" t="inlineStr">
        <is>
          <t>20.01.12.0002</t>
        </is>
      </c>
      <c r="H485" s="80" t="inlineStr">
        <is>
          <t>Mesh Panel - 2D - 6/5/6 - W2500H2030 - RAL7016</t>
        </is>
      </c>
    </row>
    <row r="486">
      <c r="A486" s="2">
        <f>IF(B486&lt;&gt;"",SUM($B$128:B486),"")</f>
        <v/>
      </c>
      <c r="B486" s="2">
        <f>IF(C486&gt;0,1,"")</f>
        <v/>
      </c>
      <c r="C486" s="16" t="n"/>
      <c r="D486" s="2" t="n">
        <v>2500</v>
      </c>
      <c r="E486" s="2" t="n">
        <v>2030</v>
      </c>
      <c r="F486" s="17" t="n">
        <v>3</v>
      </c>
      <c r="G486" s="79" t="inlineStr">
        <is>
          <t>20.01.12.0003</t>
        </is>
      </c>
      <c r="H486" s="80" t="inlineStr">
        <is>
          <t>Mesh Panel - 2D - 6/5/6 - W2500H2030 - RAL9005</t>
        </is>
      </c>
    </row>
    <row r="487">
      <c r="A487" s="2">
        <f>IF(B487&lt;&gt;"",SUM($B$128:B487),"")</f>
        <v/>
      </c>
      <c r="B487" s="2">
        <f>IF(C487&gt;0,1,"")</f>
        <v/>
      </c>
      <c r="C487" s="16" t="n"/>
      <c r="D487" s="2" t="n">
        <v>2500</v>
      </c>
      <c r="E487" s="2" t="n">
        <v>2030</v>
      </c>
      <c r="F487" s="17" t="n">
        <v>4</v>
      </c>
      <c r="G487" s="79" t="inlineStr">
        <is>
          <t>20.01.12.0004</t>
        </is>
      </c>
      <c r="H487" s="80" t="inlineStr">
        <is>
          <t>Mesh Panel - 2D - 6/5/6 - W2500H2030 - Galvanized</t>
        </is>
      </c>
    </row>
    <row r="488">
      <c r="A488" s="2">
        <f>IF(B488&lt;&gt;"",SUM($B$128:B488),"")</f>
        <v/>
      </c>
      <c r="B488" s="2">
        <f>IF(C488&gt;0,1,"")</f>
        <v/>
      </c>
      <c r="C488" s="16" t="n"/>
      <c r="D488" s="2" t="n">
        <v>2500</v>
      </c>
      <c r="E488" s="2" t="n">
        <v>630</v>
      </c>
      <c r="F488" s="17" t="n">
        <v>1</v>
      </c>
      <c r="G488" s="79" t="inlineStr">
        <is>
          <t>20.01.12.0005</t>
        </is>
      </c>
      <c r="H488" s="80" t="inlineStr">
        <is>
          <t>Mesh Panel - 2D - 6/5/6 - W2500H630 - RAL6005</t>
        </is>
      </c>
    </row>
    <row r="489">
      <c r="A489" s="2">
        <f>IF(B489&lt;&gt;"",SUM($B$128:B489),"")</f>
        <v/>
      </c>
      <c r="B489" s="2">
        <f>IF(C489&gt;0,1,"")</f>
        <v/>
      </c>
      <c r="C489" s="16" t="n"/>
      <c r="D489" s="2" t="n">
        <v>2500</v>
      </c>
      <c r="E489" s="2" t="n">
        <v>630</v>
      </c>
      <c r="F489" s="17" t="n">
        <v>2</v>
      </c>
      <c r="G489" s="79" t="inlineStr">
        <is>
          <t>20.01.12.0006</t>
        </is>
      </c>
      <c r="H489" s="80" t="inlineStr">
        <is>
          <t>Mesh Panel - 2D - 6/5/6 - W2500H630 - RAL7016</t>
        </is>
      </c>
    </row>
    <row r="490">
      <c r="A490" s="2">
        <f>IF(B490&lt;&gt;"",SUM($B$128:B490),"")</f>
        <v/>
      </c>
      <c r="B490" s="2">
        <f>IF(C490&gt;0,1,"")</f>
        <v/>
      </c>
      <c r="C490" s="16" t="n"/>
      <c r="D490" s="2" t="n">
        <v>2500</v>
      </c>
      <c r="E490" s="2" t="n">
        <v>630</v>
      </c>
      <c r="F490" s="17" t="n">
        <v>3</v>
      </c>
      <c r="G490" s="79" t="inlineStr">
        <is>
          <t>20.01.12.0007</t>
        </is>
      </c>
      <c r="H490" s="80" t="inlineStr">
        <is>
          <t>Mesh Panel - 2D - 6/5/6 - W2500H630 - RAL9005</t>
        </is>
      </c>
    </row>
    <row r="491">
      <c r="A491" s="2">
        <f>IF(B491&lt;&gt;"",SUM($B$128:B491),"")</f>
        <v/>
      </c>
      <c r="B491" s="2">
        <f>IF(C491&gt;0,1,"")</f>
        <v/>
      </c>
      <c r="C491" s="16" t="n"/>
      <c r="D491" s="2" t="n">
        <v>2500</v>
      </c>
      <c r="E491" s="2" t="n">
        <v>630</v>
      </c>
      <c r="F491" s="17" t="n">
        <v>4</v>
      </c>
      <c r="G491" s="79" t="inlineStr">
        <is>
          <t>20.01.12.0008</t>
        </is>
      </c>
      <c r="H491" s="80" t="inlineStr">
        <is>
          <t>Mesh Panel - 2D - 6/5/6 - W2500H630 - Galvanized</t>
        </is>
      </c>
    </row>
    <row r="492">
      <c r="A492" s="2">
        <f>IF(B492&lt;&gt;"",SUM($B$128:B492),"")</f>
        <v/>
      </c>
      <c r="B492" s="2">
        <f>IF(C492&gt;0,1,"")</f>
        <v/>
      </c>
      <c r="C492" s="16" t="n"/>
      <c r="F492" s="17" t="n"/>
    </row>
    <row r="493">
      <c r="A493" s="2">
        <f>IF(B493&lt;&gt;"",SUM($B$128:B493),"")</f>
        <v/>
      </c>
      <c r="B493" s="2">
        <f>IF(C493&gt;0,1,"")</f>
        <v/>
      </c>
      <c r="C493" s="16" t="n"/>
      <c r="F493" s="17" t="n"/>
    </row>
    <row r="494">
      <c r="A494" s="2">
        <f>IF(B494&lt;&gt;"",SUM($B$128:B494),"")</f>
        <v/>
      </c>
      <c r="B494" s="2">
        <f>IF(C494&gt;0,1,"")</f>
        <v/>
      </c>
      <c r="C494" s="16">
        <f>IF(D37*D56=1,D44+2*D46-D49,0)</f>
        <v/>
      </c>
      <c r="D494" s="2" t="n">
        <v>2500</v>
      </c>
      <c r="E494" s="2" t="n">
        <v>2030</v>
      </c>
      <c r="F494" s="17">
        <f>$D$38</f>
        <v/>
      </c>
      <c r="G494" s="79">
        <f t="array" ref="G494">INDEX($G$444:$G$491,_xlfn.XMATCH(D494&amp;E494&amp;F494,$D$444:$D$491&amp;$E$444:$E$491&amp;$F$444:$F$491,0))</f>
        <v/>
      </c>
      <c r="H494" s="80">
        <f>_xlfn.XLOOKUP(G494,$G$444:$G$491,$H$444:$H$491)</f>
        <v/>
      </c>
    </row>
    <row r="495">
      <c r="A495" s="2">
        <f>IF(B495&lt;&gt;"",SUM($B$128:B495),"")</f>
        <v/>
      </c>
      <c r="B495" s="2">
        <f>IF(C495&gt;0,1,"")</f>
        <v/>
      </c>
      <c r="C495" s="16">
        <f>IF(D37*D18*D56=1,D44+2*D46-D49,0)</f>
        <v/>
      </c>
      <c r="D495" s="2" t="n">
        <v>2500</v>
      </c>
      <c r="E495" s="2" t="n">
        <v>630</v>
      </c>
      <c r="F495" s="17">
        <f>$D$38</f>
        <v/>
      </c>
      <c r="G495" s="79">
        <f t="array" ref="G495">INDEX($G$444:$G$491,_xlfn.XMATCH(D495&amp;E495&amp;F495,$D$444:$D$491&amp;$E$444:$E$491&amp;$F$444:$F$491,0))</f>
        <v/>
      </c>
      <c r="H495" s="80">
        <f>_xlfn.XLOOKUP(G495,$G$444:$G$491,$H$444:$H$491)</f>
        <v/>
      </c>
    </row>
    <row r="496">
      <c r="A496" s="2">
        <f>IF(B496&lt;&gt;"",SUM($B$128:B496),"")</f>
        <v/>
      </c>
      <c r="B496" s="2">
        <f>IF(C496&gt;0,1,"")</f>
        <v/>
      </c>
      <c r="C496" s="16">
        <f>IF(D37*D56=1,D43+2*D45+3*D47-D48,0)</f>
        <v/>
      </c>
      <c r="D496" s="2" t="n">
        <v>2000</v>
      </c>
      <c r="E496" s="2" t="n">
        <v>2030</v>
      </c>
      <c r="F496" s="17">
        <f>$D$38</f>
        <v/>
      </c>
      <c r="G496" s="79">
        <f t="array" ref="G496">INDEX($G$444:$G$491,_xlfn.XMATCH(D496&amp;E496&amp;F496,$D$444:$D$491&amp;$E$444:$E$491&amp;$F$444:$F$491,0))</f>
        <v/>
      </c>
      <c r="H496" s="80">
        <f>_xlfn.XLOOKUP(G496,$G$444:$G$491,$H$444:$H$491)</f>
        <v/>
      </c>
    </row>
    <row r="497">
      <c r="A497" s="2">
        <f>IF(B497&lt;&gt;"",SUM($B$128:B497),"")</f>
        <v/>
      </c>
      <c r="B497" s="2">
        <f>IF(C497&gt;0,1,"")</f>
        <v/>
      </c>
      <c r="C497" s="16">
        <f>IF(D37*D18*D56=1,D43+2*D45+3*D47-D48,0)</f>
        <v/>
      </c>
      <c r="D497" s="2" t="n">
        <v>2000</v>
      </c>
      <c r="E497" s="2" t="n">
        <v>630</v>
      </c>
      <c r="F497" s="17">
        <f>$D$38</f>
        <v/>
      </c>
      <c r="G497" s="79">
        <f t="array" ref="G497">INDEX($G$444:$G$491,_xlfn.XMATCH(D497&amp;E497&amp;F497,$D$444:$D$491&amp;$E$444:$E$491&amp;$F$444:$F$491,0))</f>
        <v/>
      </c>
      <c r="H497" s="80">
        <f>_xlfn.XLOOKUP(G497,$G$444:$G$491,$H$444:$H$491)</f>
        <v/>
      </c>
    </row>
    <row r="498">
      <c r="A498" s="2">
        <f>IF(B498&lt;&gt;"",SUM($B$128:B498),"")</f>
        <v/>
      </c>
      <c r="B498" s="2">
        <f>IF(C498&gt;0,1,"")</f>
        <v/>
      </c>
      <c r="C498" s="16">
        <f>IF(D37*D56=1,D52+D53+D55*2,0)</f>
        <v/>
      </c>
      <c r="D498" s="2" t="n">
        <v>1150</v>
      </c>
      <c r="E498" s="2" t="n">
        <v>2030</v>
      </c>
      <c r="F498" s="17">
        <f>$D$38</f>
        <v/>
      </c>
      <c r="G498" s="79">
        <f t="array" ref="G498">INDEX($G$444:$G$491,_xlfn.XMATCH(D498&amp;E498&amp;F498,$D$444:$D$491&amp;$E$444:$E$491&amp;$F$444:$F$491,0))</f>
        <v/>
      </c>
      <c r="H498" s="80">
        <f>_xlfn.XLOOKUP(G498,$G$444:$G$491,$H$444:$H$491)</f>
        <v/>
      </c>
    </row>
    <row r="499">
      <c r="A499" s="2">
        <f>IF(B499&lt;&gt;"",SUM($B$128:B499),"")</f>
        <v/>
      </c>
      <c r="B499" s="2">
        <f>IF(C499&gt;0,1,"")</f>
        <v/>
      </c>
      <c r="C499" s="16">
        <f>IF(D37*D18*D56=1,D52+D53+D55*2,0)</f>
        <v/>
      </c>
      <c r="D499" s="2" t="n">
        <v>1150</v>
      </c>
      <c r="E499" s="2" t="n">
        <v>630</v>
      </c>
      <c r="F499" s="17">
        <f>$D$38</f>
        <v/>
      </c>
      <c r="G499" s="79">
        <f t="array" ref="G499">INDEX($G$444:$G$491,_xlfn.XMATCH(D499&amp;E499&amp;F499,$D$444:$D$491&amp;$E$444:$E$491&amp;$F$444:$F$491,0))</f>
        <v/>
      </c>
      <c r="H499" s="80">
        <f>_xlfn.XLOOKUP(G499,$G$444:$G$491,$H$444:$H$491)</f>
        <v/>
      </c>
    </row>
    <row r="500">
      <c r="A500" s="2">
        <f>IF(B500&lt;&gt;"",SUM($B$128:B500),"")</f>
        <v/>
      </c>
      <c r="B500" s="2">
        <f>IF(C500&gt;0,1,"")</f>
        <v/>
      </c>
      <c r="C500" s="16">
        <f>IF(D37*D56=1,D54*2,0)</f>
        <v/>
      </c>
      <c r="D500" s="2" t="n">
        <v>900</v>
      </c>
      <c r="E500" s="2" t="n">
        <v>2030</v>
      </c>
      <c r="F500" s="17">
        <f>$D$38</f>
        <v/>
      </c>
      <c r="G500" s="79">
        <f t="array" ref="G500">INDEX($G$444:$G$491,_xlfn.XMATCH(D500&amp;E500&amp;F500,$D$444:$D$491&amp;$E$444:$E$491&amp;$F$444:$F$491,0))</f>
        <v/>
      </c>
      <c r="H500" s="80">
        <f>_xlfn.XLOOKUP(G500,$G$444:$G$491,$H$444:$H$491)</f>
        <v/>
      </c>
    </row>
    <row r="501">
      <c r="A501" s="2">
        <f>IF(B501&lt;&gt;"",SUM($B$128:B501),"")</f>
        <v/>
      </c>
      <c r="B501" s="2">
        <f>IF(C501&gt;0,1,"")</f>
        <v/>
      </c>
      <c r="C501" s="16">
        <f>IF(D37*D18*D56=1,D54*2,0)</f>
        <v/>
      </c>
      <c r="D501" s="2" t="n">
        <v>900</v>
      </c>
      <c r="E501" s="2" t="n">
        <v>630</v>
      </c>
      <c r="F501" s="17">
        <f>$D$38</f>
        <v/>
      </c>
      <c r="G501" s="79">
        <f t="array" ref="G501">INDEX($G$444:$G$491,_xlfn.XMATCH(D501&amp;E501&amp;F501,$D$444:$D$491&amp;$E$444:$E$491&amp;$F$444:$F$491,0))</f>
        <v/>
      </c>
      <c r="H501" s="80">
        <f>_xlfn.XLOOKUP(G501,$G$444:$G$491,$H$444:$H$491)</f>
        <v/>
      </c>
    </row>
    <row r="502">
      <c r="A502" s="2">
        <f>IF(B502&lt;&gt;"",SUM($B$128:B502),"")</f>
        <v/>
      </c>
      <c r="B502" s="2">
        <f>IF(C502&gt;0,1,"")</f>
        <v/>
      </c>
      <c r="C502" s="16">
        <f>IF(D37*D56=1,D53*2,0)</f>
        <v/>
      </c>
      <c r="D502" s="2" t="n">
        <v>600</v>
      </c>
      <c r="E502" s="2" t="n">
        <v>2030</v>
      </c>
      <c r="F502" s="17">
        <f>$D$38</f>
        <v/>
      </c>
      <c r="G502" s="79">
        <f t="array" ref="G502">INDEX($G$444:$G$491,_xlfn.XMATCH(D502&amp;E502&amp;F502,$D$444:$D$491&amp;$E$444:$E$491&amp;$F$444:$F$491,0))</f>
        <v/>
      </c>
      <c r="H502" s="80">
        <f>_xlfn.XLOOKUP(G502,$G$444:$G$491,$H$444:$H$491)</f>
        <v/>
      </c>
    </row>
    <row r="503">
      <c r="A503" s="2">
        <f>IF(B503&lt;&gt;"",SUM($B$128:B503),"")</f>
        <v/>
      </c>
      <c r="B503" s="2">
        <f>IF(C503&gt;0,1,"")</f>
        <v/>
      </c>
      <c r="C503" s="16">
        <f>IF(D37*D18*D56=1,D53*2,0)</f>
        <v/>
      </c>
      <c r="D503" s="2" t="n">
        <v>600</v>
      </c>
      <c r="E503" s="2" t="n">
        <v>630</v>
      </c>
      <c r="F503" s="17">
        <f>$D$38</f>
        <v/>
      </c>
      <c r="G503" s="79">
        <f t="array" ref="G503">INDEX($G$444:$G$491,_xlfn.XMATCH(D503&amp;E503&amp;F503,$D$444:$D$491&amp;$E$444:$E$491&amp;$F$444:$F$491,0))</f>
        <v/>
      </c>
      <c r="H503" s="80">
        <f>_xlfn.XLOOKUP(G503,$G$444:$G$491,$H$444:$H$491)</f>
        <v/>
      </c>
    </row>
    <row r="504">
      <c r="A504" s="2">
        <f>IF(B504&lt;&gt;"",SUM($B$128:B504),"")</f>
        <v/>
      </c>
      <c r="B504" s="2">
        <f>IF(C504&gt;0,1,"")</f>
        <v/>
      </c>
      <c r="C504" s="16">
        <f>IF(D37*D56=1,D52*2,0)</f>
        <v/>
      </c>
      <c r="D504" s="2" t="n">
        <v>350</v>
      </c>
      <c r="E504" s="2" t="n">
        <v>2030</v>
      </c>
      <c r="F504" s="17">
        <f>$D$38</f>
        <v/>
      </c>
      <c r="G504" s="79">
        <f t="array" ref="G504">INDEX($G$444:$G$491,_xlfn.XMATCH(D504&amp;E504&amp;F504,$D$444:$D$491&amp;$E$444:$E$491&amp;$F$444:$F$491,0))</f>
        <v/>
      </c>
      <c r="H504" s="80">
        <f>_xlfn.XLOOKUP(G504,$G$444:$G$491,$H$444:$H$491)</f>
        <v/>
      </c>
    </row>
    <row r="505">
      <c r="A505" s="2">
        <f>IF(B505&lt;&gt;"",SUM($B$128:B505),"")</f>
        <v/>
      </c>
      <c r="B505" s="2">
        <f>IF(C505&gt;0,1,"")</f>
        <v/>
      </c>
      <c r="C505" s="18">
        <f>IF(D37*D18*D56=1,D52*2,0)</f>
        <v/>
      </c>
      <c r="D505" s="19" t="n">
        <v>350</v>
      </c>
      <c r="E505" s="19" t="n">
        <v>630</v>
      </c>
      <c r="F505" s="20">
        <f>$D$38</f>
        <v/>
      </c>
      <c r="G505" s="79">
        <f t="array" ref="G505">INDEX($G$444:$G$491,_xlfn.XMATCH(D505&amp;E505&amp;F505,$D$444:$D$491&amp;$E$444:$E$491&amp;$F$444:$F$491,0))</f>
        <v/>
      </c>
      <c r="H505" s="80">
        <f>_xlfn.XLOOKUP(G505,$G$444:$G$491,$H$444:$H$491)</f>
        <v/>
      </c>
    </row>
    <row r="506">
      <c r="A506" s="2">
        <f>IF(B506&lt;&gt;"",SUM($B$128:B506),"")</f>
        <v/>
      </c>
      <c r="B506" s="2">
        <f>IF(C506&gt;0,1,"")</f>
        <v/>
      </c>
    </row>
    <row r="507">
      <c r="A507" s="2">
        <f>IF(B507&lt;&gt;"",SUM($B$128:B507),"")</f>
        <v/>
      </c>
      <c r="B507" s="2">
        <f>IF(C507&gt;0,1,"")</f>
        <v/>
      </c>
    </row>
    <row r="508">
      <c r="A508" s="2">
        <f>IF(B508&lt;&gt;"",SUM($B$128:B508),"")</f>
        <v/>
      </c>
      <c r="B508" s="2">
        <f>IF(C508&gt;0,1,"")</f>
        <v/>
      </c>
    </row>
    <row r="509">
      <c r="A509" s="2">
        <f>IF(B509&lt;&gt;"",SUM($B$128:B509),"")</f>
        <v/>
      </c>
      <c r="B509" s="2">
        <f>IF(C509&gt;0,1,"")</f>
        <v/>
      </c>
      <c r="C509" s="13" t="n"/>
      <c r="D509" s="14" t="n"/>
      <c r="E509" s="14" t="n"/>
      <c r="F509" s="15" t="n"/>
    </row>
    <row r="510">
      <c r="A510" s="2">
        <f>IF(B510&lt;&gt;"",SUM($B$128:B510),"")</f>
        <v/>
      </c>
      <c r="B510" s="2">
        <f>IF(C510&gt;0,1,"")</f>
        <v/>
      </c>
      <c r="C510" s="16">
        <f>IF(D37=3,2*D43+4*D45+6*D47-2*D48,0)*D56</f>
        <v/>
      </c>
      <c r="F510" s="17" t="n"/>
      <c r="G510" s="79" t="inlineStr">
        <is>
          <t>08.02.04.0007</t>
        </is>
      </c>
      <c r="H510" s="80" t="inlineStr">
        <is>
          <t>Glass Panel - Tempered - Clear - T=8mm - W950H2150</t>
        </is>
      </c>
    </row>
    <row r="511">
      <c r="A511" s="2">
        <f>IF(B511&lt;&gt;"",SUM($B$128:B511),"")</f>
        <v/>
      </c>
      <c r="B511" s="2">
        <f>IF(C511&gt;0,1,"")</f>
        <v/>
      </c>
      <c r="C511" s="18">
        <f>IF(D37=3,2*D44+4*D46-2*D49,0)*D56</f>
        <v/>
      </c>
      <c r="D511" s="19" t="n"/>
      <c r="E511" s="19" t="n"/>
      <c r="F511" s="20" t="n"/>
      <c r="G511" s="79" t="inlineStr">
        <is>
          <t>08.02.04.0008</t>
        </is>
      </c>
      <c r="H511" s="80" t="inlineStr">
        <is>
          <t>Glass Panel - Tempered - Clear - T=8mm - W1195H2150</t>
        </is>
      </c>
    </row>
    <row r="512">
      <c r="A512" s="2">
        <f>IF(B512&lt;&gt;"",SUM($B$128:B512),"")</f>
        <v/>
      </c>
      <c r="B512" s="2">
        <f>IF(C512&gt;0,1,"")</f>
        <v/>
      </c>
    </row>
    <row r="513">
      <c r="A513" s="2">
        <f>IF(B513&lt;&gt;"",SUM($B$128:B513),"")</f>
        <v/>
      </c>
      <c r="B513" s="2">
        <f>IF(C513&gt;0,1,"")</f>
        <v/>
      </c>
    </row>
    <row r="514">
      <c r="A514" s="2">
        <f>IF(B514&lt;&gt;"",SUM($B$128:B514),"")</f>
        <v/>
      </c>
      <c r="B514" s="2">
        <f>IF(C514&gt;0,1,"")</f>
        <v/>
      </c>
    </row>
    <row r="515">
      <c r="A515" s="2">
        <f>IF(B515&lt;&gt;"",SUM($B$128:B515),"")</f>
        <v/>
      </c>
      <c r="B515" s="2">
        <f>IF(C515&gt;0,1,"")</f>
        <v/>
      </c>
      <c r="C515" s="13" t="n"/>
      <c r="D515" s="14" t="inlineStr">
        <is>
          <t>Coverage</t>
        </is>
      </c>
      <c r="E515" s="14" t="inlineStr">
        <is>
          <t>Roof</t>
        </is>
      </c>
      <c r="F515" s="15" t="inlineStr">
        <is>
          <t>L</t>
        </is>
      </c>
    </row>
    <row r="516">
      <c r="A516" s="2">
        <f>IF(B516&lt;&gt;"",SUM($B$128:B516),"")</f>
        <v/>
      </c>
      <c r="B516" s="2">
        <f>IF(C516&gt;0,1,"")</f>
        <v/>
      </c>
      <c r="C516" s="16" t="n"/>
      <c r="D516" s="2" t="n">
        <v>960</v>
      </c>
      <c r="E516" s="2" t="n">
        <v>0</v>
      </c>
      <c r="F516" s="17" t="n">
        <v>2.03</v>
      </c>
      <c r="G516" s="79" t="inlineStr">
        <is>
          <t>01.06.11.0011</t>
        </is>
      </c>
      <c r="H516" s="79" t="inlineStr">
        <is>
          <t>Steel Roof Sheet - RAL7016 - L=2020mm</t>
        </is>
      </c>
    </row>
    <row r="517">
      <c r="A517" s="2">
        <f>IF(B517&lt;&gt;"",SUM($B$128:B517),"")</f>
        <v/>
      </c>
      <c r="B517" s="2">
        <f>IF(C517&gt;0,1,"")</f>
        <v/>
      </c>
      <c r="C517" s="16" t="n"/>
      <c r="D517" s="2" t="n">
        <v>960</v>
      </c>
      <c r="E517" s="2" t="n">
        <v>0</v>
      </c>
      <c r="F517" s="17" t="n">
        <v>2.53</v>
      </c>
      <c r="G517" s="79" t="inlineStr">
        <is>
          <t>01.06.11.0012</t>
        </is>
      </c>
      <c r="H517" s="79" t="inlineStr">
        <is>
          <t>Steel Roof Sheet - RAL7016 - L=2520mm</t>
        </is>
      </c>
    </row>
    <row r="518">
      <c r="A518" s="2">
        <f>IF(B518&lt;&gt;"",SUM($B$128:B518),"")</f>
        <v/>
      </c>
      <c r="B518" s="2">
        <f>IF(C518&gt;0,1,"")</f>
        <v/>
      </c>
      <c r="C518" s="16" t="n"/>
      <c r="D518" s="2" t="n">
        <v>1000</v>
      </c>
      <c r="E518" s="2" t="n">
        <v>1</v>
      </c>
      <c r="F518" s="17" t="n">
        <v>2.03</v>
      </c>
      <c r="G518" s="79" t="inlineStr">
        <is>
          <t>07.01.05.0013</t>
        </is>
      </c>
      <c r="H518" s="79" t="inlineStr">
        <is>
          <t>Polycarbonate Roof Sheet - Trapez 250/35 - Clear - T=1,00mm - L=2020mm</t>
        </is>
      </c>
    </row>
    <row r="519">
      <c r="A519" s="2">
        <f>IF(B519&lt;&gt;"",SUM($B$128:B519),"")</f>
        <v/>
      </c>
      <c r="B519" s="2">
        <f>IF(C519&gt;0,1,"")</f>
        <v/>
      </c>
      <c r="C519" s="16" t="n"/>
      <c r="D519" s="2" t="n">
        <v>1000</v>
      </c>
      <c r="E519" s="2" t="n">
        <v>1</v>
      </c>
      <c r="F519" s="17" t="n">
        <v>2.53</v>
      </c>
      <c r="G519" s="79" t="inlineStr">
        <is>
          <t>07.01.05.0014</t>
        </is>
      </c>
      <c r="H519" s="79" t="inlineStr">
        <is>
          <t>Polycarbonate Roof Sheet - Trapez 250/35 - Clear - T=1,00mm - L=2520mm</t>
        </is>
      </c>
    </row>
    <row r="520">
      <c r="A520" s="2">
        <f>IF(B520&lt;&gt;"",SUM($B$128:B520),"")</f>
        <v/>
      </c>
      <c r="B520" s="2">
        <f>IF(C520&gt;0,1,"")</f>
        <v/>
      </c>
      <c r="C520" s="16" t="n"/>
      <c r="F520" s="17" t="n"/>
    </row>
    <row r="521">
      <c r="A521" s="2">
        <f>IF(B521&lt;&gt;"",SUM($B$128:B521),"")</f>
        <v/>
      </c>
      <c r="B521" s="2">
        <f>IF(C521&gt;0,1,"")</f>
        <v/>
      </c>
      <c r="C521" s="16" t="n"/>
      <c r="F521" s="17" t="n"/>
    </row>
    <row r="522">
      <c r="A522" s="2">
        <f>IF(B522&lt;&gt;"",SUM($B$128:B522),"")</f>
        <v/>
      </c>
      <c r="B522" s="2">
        <f>IF(C522&gt;0,1,"")</f>
        <v/>
      </c>
      <c r="C522" s="16">
        <f>D27*ROUNDUP($D$10*1000/D522,0)</f>
        <v/>
      </c>
      <c r="D522" s="2">
        <f>_xlfn.XLOOKUP(G522,$G$516:$G$519,$D$516:$D$519)</f>
        <v/>
      </c>
      <c r="E522" s="2">
        <f>$D$14</f>
        <v/>
      </c>
      <c r="F522" s="17" t="n">
        <v>2.03</v>
      </c>
      <c r="G522" s="79">
        <f t="array" ref="G522">INDEX($G$516:$G$519,_xlfn.XMATCH(E522&amp;F522,$E$516:$E$519&amp;$F$516:$F$519,0))</f>
        <v/>
      </c>
      <c r="H522" s="80">
        <f>_xlfn.XLOOKUP(G522,$G$516:$G$519,$H$516:$H$519)</f>
        <v/>
      </c>
    </row>
    <row r="523">
      <c r="A523" s="2">
        <f>IF(B523&lt;&gt;"",SUM($B$128:B523),"")</f>
        <v/>
      </c>
      <c r="B523" s="2">
        <f>IF(C523&gt;0,1,"")</f>
        <v/>
      </c>
      <c r="C523" s="18">
        <f>D28*ROUNDUP($D$10*1000/D523,0)</f>
        <v/>
      </c>
      <c r="D523" s="19">
        <f>_xlfn.XLOOKUP(G523,$G$516:$G$519,$D$516:$D$519)</f>
        <v/>
      </c>
      <c r="E523" s="19">
        <f>$D$14</f>
        <v/>
      </c>
      <c r="F523" s="20" t="n">
        <v>2.53</v>
      </c>
      <c r="G523" s="79">
        <f t="array" ref="G523">INDEX($G$516:$G$519,_xlfn.XMATCH(E523&amp;F523,$E$516:$E$519&amp;$F$516:$F$519,0))</f>
        <v/>
      </c>
      <c r="H523" s="80">
        <f>_xlfn.XLOOKUP(G523,$G$516:$G$519,$H$516:$H$519)</f>
        <v/>
      </c>
    </row>
    <row r="524">
      <c r="A524" s="2">
        <f>IF(B524&lt;&gt;"",SUM($B$128:B524),"")</f>
        <v/>
      </c>
      <c r="B524" s="2">
        <f>IF(C524&gt;0,1,"")</f>
        <v/>
      </c>
    </row>
    <row r="525">
      <c r="A525" s="2">
        <f>IF(B525&lt;&gt;"",SUM($B$128:B525),"")</f>
        <v/>
      </c>
      <c r="B525" s="2">
        <f>IF(C525&gt;0,1,"")</f>
        <v/>
      </c>
    </row>
    <row r="526">
      <c r="A526" s="2">
        <f>IF(B526&lt;&gt;"",SUM($B$128:B526),"")</f>
        <v/>
      </c>
      <c r="B526" s="2">
        <f>IF(C526&gt;0,1,"")</f>
        <v/>
      </c>
    </row>
    <row r="527">
      <c r="A527" s="2">
        <f>IF(B527&lt;&gt;"",SUM($B$128:B527),"")</f>
        <v/>
      </c>
      <c r="B527" s="2">
        <f>IF(C527&gt;0,1,"")</f>
        <v/>
      </c>
      <c r="C527" s="13" t="n"/>
      <c r="D527" s="14" t="n"/>
      <c r="E527" s="14" t="n"/>
      <c r="F527" s="15" t="n"/>
    </row>
    <row r="528">
      <c r="A528" s="2">
        <f>IF(B528&lt;&gt;"",SUM($B$128:B528),"")</f>
        <v/>
      </c>
      <c r="B528" s="2">
        <f>IF(C528&gt;0,1,"")</f>
        <v/>
      </c>
      <c r="C528" s="16">
        <f>ROUNDUP(D26*$D$10/3,0)</f>
        <v/>
      </c>
      <c r="F528" s="17" t="n"/>
      <c r="G528" s="79" t="inlineStr">
        <is>
          <t>37.44.06.0001</t>
        </is>
      </c>
      <c r="H528" s="80" t="inlineStr">
        <is>
          <t>Alu L-profile - 125x50x2 - Perfo R5T8 - L=3000mm</t>
        </is>
      </c>
    </row>
    <row r="529">
      <c r="A529" s="2">
        <f>IF(B529&lt;&gt;"",SUM($B$128:B529),"")</f>
        <v/>
      </c>
      <c r="B529" s="2">
        <f>IF(C529&gt;0,1,"")</f>
        <v/>
      </c>
      <c r="C529" s="18">
        <f>ROUNDUP($D$10/3,0)</f>
        <v/>
      </c>
      <c r="D529" s="19" t="n"/>
      <c r="E529" s="19" t="n"/>
      <c r="F529" s="20" t="n"/>
      <c r="G529" s="79" t="inlineStr">
        <is>
          <t>37.44.04.0002</t>
        </is>
      </c>
      <c r="H529" s="80" t="inlineStr">
        <is>
          <t>Alu L-profile - 50x50x2 - Perfo R5T8 - L=3000mm</t>
        </is>
      </c>
    </row>
    <row r="530">
      <c r="A530" s="2">
        <f>IF(B530&lt;&gt;"",SUM($B$128:B530),"")</f>
        <v/>
      </c>
      <c r="B530" s="2">
        <f>IF(C530&gt;0,1,"")</f>
        <v/>
      </c>
    </row>
    <row r="531">
      <c r="A531" s="2">
        <f>IF(B531&lt;&gt;"",SUM($B$128:B531),"")</f>
        <v/>
      </c>
      <c r="B531" s="2">
        <f>IF(C531&gt;0,1,"")</f>
        <v/>
      </c>
    </row>
    <row r="532">
      <c r="A532" s="2">
        <f>IF(B532&lt;&gt;"",SUM($B$128:B532),"")</f>
        <v/>
      </c>
      <c r="B532" s="2">
        <f>IF(C532&gt;0,1,"")</f>
        <v/>
      </c>
      <c r="E532" s="12" t="n"/>
      <c r="I532" s="12" t="n"/>
    </row>
    <row r="533">
      <c r="A533" s="2">
        <f>IF(B533&lt;&gt;"",SUM($B$128:B533),"")</f>
        <v/>
      </c>
      <c r="B533" s="2">
        <f>IF(C533&gt;0,1,"")</f>
        <v/>
      </c>
      <c r="C533" s="13" t="n"/>
      <c r="D533" s="14" t="n"/>
      <c r="E533" s="48" t="n"/>
      <c r="F533" s="15" t="n"/>
      <c r="I533" s="12" t="n"/>
    </row>
    <row r="534">
      <c r="A534" s="2">
        <f>IF(B534&lt;&gt;"",SUM($B$128:B534),"")</f>
        <v/>
      </c>
      <c r="B534" s="2">
        <f>IF(C534&gt;0,1,"")</f>
        <v/>
      </c>
      <c r="C534" s="16">
        <f>IF(D19=1,D26*D29,0)</f>
        <v/>
      </c>
      <c r="E534" s="12" t="n"/>
      <c r="F534" s="17" t="n"/>
      <c r="G534" s="79" t="inlineStr">
        <is>
          <t>30.05.04.0039</t>
        </is>
      </c>
      <c r="H534" s="79" t="inlineStr">
        <is>
          <t>LED Fixture - 33W/3960lm/IP66 - L=1285mm - Ledvance 4058075740914</t>
        </is>
      </c>
      <c r="I534" s="12" t="n"/>
    </row>
    <row r="535">
      <c r="A535" s="2">
        <f>IF(B535&lt;&gt;"",SUM($B$128:B535),"")</f>
        <v/>
      </c>
      <c r="B535" s="2">
        <f>IF(C535&gt;0,1,"")</f>
        <v/>
      </c>
      <c r="C535" s="16">
        <f>IF(D19=1,CEILING((D26*D10+D9+6)*1.1,3),0)</f>
        <v/>
      </c>
      <c r="E535" s="12" t="n"/>
      <c r="F535" s="17" t="n"/>
      <c r="G535" s="79" t="inlineStr">
        <is>
          <t>30.04.01.0001</t>
        </is>
      </c>
      <c r="H535" s="79" t="inlineStr">
        <is>
          <t>PVC Conduit 20mm - Class 3231 - RAL7035 - L=3000mm - Pipelife 1196040600</t>
        </is>
      </c>
      <c r="I535" s="12" t="n"/>
    </row>
    <row r="536">
      <c r="A536" s="2">
        <f>IF(B536&lt;&gt;"",SUM($B$128:B536),"")</f>
        <v/>
      </c>
      <c r="B536" s="2">
        <f>IF(C536&gt;0,1,"")</f>
        <v/>
      </c>
      <c r="C536" s="18">
        <f>IF(D19=1,CEILING((D26*D10+D9+6)*1.1,3),0)</f>
        <v/>
      </c>
      <c r="D536" s="19" t="n"/>
      <c r="E536" s="49" t="n"/>
      <c r="F536" s="20" t="n"/>
      <c r="G536" s="79" t="inlineStr">
        <is>
          <t>30.01.04.0001</t>
        </is>
      </c>
      <c r="H536" s="79" t="inlineStr">
        <is>
          <t>Electricity cable - XGB 3G 1,5mm² - Green</t>
        </is>
      </c>
      <c r="I536" s="12" t="n"/>
    </row>
    <row r="537">
      <c r="A537" s="2">
        <f>IF(B537&lt;&gt;"",SUM($B$128:B537),"")</f>
        <v/>
      </c>
      <c r="B537" s="2">
        <f>IF(C537&gt;0,1,"")</f>
        <v/>
      </c>
      <c r="E537" s="12" t="n"/>
      <c r="H537" s="79" t="n"/>
      <c r="I537" s="12" t="n"/>
    </row>
    <row r="538">
      <c r="A538" s="2">
        <f>IF(B538&lt;&gt;"",SUM($B$128:B538),"")</f>
        <v/>
      </c>
      <c r="B538" s="2">
        <f>IF(C538&gt;0,1,"")</f>
        <v/>
      </c>
      <c r="E538" s="12" t="n"/>
      <c r="I538" s="12" t="n"/>
    </row>
    <row r="539">
      <c r="A539" s="2">
        <f>IF(B539&lt;&gt;"",SUM($B$128:B539),"")</f>
        <v/>
      </c>
      <c r="B539" s="2">
        <f>IF(C539&gt;0,1,"")</f>
        <v/>
      </c>
      <c r="E539" s="12" t="n"/>
    </row>
    <row r="540">
      <c r="A540" s="2">
        <f>IF(B540&lt;&gt;"",SUM($B$128:B540),"")</f>
        <v/>
      </c>
      <c r="B540" s="2">
        <f>IF(C540&gt;0,1,"")</f>
        <v/>
      </c>
      <c r="C540" s="13" t="n"/>
      <c r="D540" s="14" t="n"/>
      <c r="E540" s="48" t="n"/>
      <c r="F540" s="15" t="inlineStr">
        <is>
          <t>Treatment</t>
        </is>
      </c>
    </row>
    <row r="541">
      <c r="A541" s="2">
        <f>IF(B541&lt;&gt;"",SUM($B$128:B541),"")</f>
        <v/>
      </c>
      <c r="B541" s="2">
        <f>IF(C541&gt;0,1,"")</f>
        <v/>
      </c>
      <c r="C541" s="16" t="n"/>
      <c r="E541" s="12" t="n"/>
      <c r="F541" s="17" t="n">
        <v>0</v>
      </c>
      <c r="G541" s="79" t="inlineStr">
        <is>
          <t>03.02.02.0092</t>
        </is>
      </c>
      <c r="H541" s="80" t="inlineStr">
        <is>
          <t>Alu L-profile - 80x40x3</t>
        </is>
      </c>
      <c r="I541" s="12" t="n"/>
    </row>
    <row r="542">
      <c r="A542" s="2">
        <f>IF(B542&lt;&gt;"",SUM($B$128:B542),"")</f>
        <v/>
      </c>
      <c r="B542" s="2">
        <f>IF(C542&gt;0,1,"")</f>
        <v/>
      </c>
      <c r="C542" s="16" t="n"/>
      <c r="E542" s="12" t="n"/>
      <c r="F542" s="17" t="n">
        <v>1</v>
      </c>
      <c r="G542" s="79" t="inlineStr">
        <is>
          <t>03.02.02.0110</t>
        </is>
      </c>
      <c r="H542" s="80" t="inlineStr">
        <is>
          <t>Alu L-profile - 80x40x3 - Powder Coated</t>
        </is>
      </c>
      <c r="I542" s="12" t="n"/>
    </row>
    <row r="543">
      <c r="A543" s="2">
        <f>IF(B543&lt;&gt;"",SUM($B$128:B543),"")</f>
        <v/>
      </c>
      <c r="B543" s="2">
        <f>IF(C543&gt;0,1,"")</f>
        <v/>
      </c>
      <c r="C543" s="16" t="n"/>
      <c r="E543" s="12" t="n"/>
      <c r="F543" s="17" t="n"/>
      <c r="I543" s="12" t="n"/>
    </row>
    <row r="544">
      <c r="A544" s="2">
        <f>IF(B544&lt;&gt;"",SUM($B$128:B544),"")</f>
        <v/>
      </c>
      <c r="B544" s="2">
        <f>IF(C544&gt;0,1,"")</f>
        <v/>
      </c>
      <c r="C544" s="16" t="n"/>
      <c r="E544" s="12" t="n"/>
      <c r="F544" s="17" t="n"/>
      <c r="I544" s="12" t="n"/>
    </row>
    <row r="545">
      <c r="A545" s="2">
        <f>IF(B545&lt;&gt;"",SUM($B$128:B545),"")</f>
        <v/>
      </c>
      <c r="B545" s="2">
        <f>IF(C545&gt;0,1,"")</f>
        <v/>
      </c>
      <c r="C545" s="18">
        <f>IF(D21=1,CEILING((D9+D10)*2+1,6),0)</f>
        <v/>
      </c>
      <c r="D545" s="19" t="n"/>
      <c r="E545" s="49" t="n"/>
      <c r="F545" s="20">
        <f>$D$16</f>
        <v/>
      </c>
      <c r="G545" s="79">
        <f t="array" ref="G545">INDEX($G$541:$G$542,_xlfn.XMATCH(F545,$F$541:$F$542,0))</f>
        <v/>
      </c>
      <c r="H545" s="80">
        <f>_xlfn.XLOOKUP(G545,$G$541:$G$542,$H$541:$H$542)</f>
        <v/>
      </c>
      <c r="I545" s="12" t="n"/>
    </row>
    <row r="546">
      <c r="E546" s="12" t="n"/>
      <c r="I546" s="12" t="n"/>
    </row>
    <row r="547">
      <c r="E547" s="12" t="n"/>
      <c r="I547" s="12" t="n"/>
    </row>
    <row r="548">
      <c r="E548" s="12" t="n"/>
      <c r="I548" s="12" t="n"/>
    </row>
    <row r="549">
      <c r="E549" s="12" t="n"/>
      <c r="I549" s="12" t="n"/>
    </row>
    <row r="550">
      <c r="E550" s="12" t="n"/>
      <c r="I550" s="12" t="n"/>
    </row>
    <row r="551">
      <c r="E551" s="12" t="n"/>
      <c r="I551" s="12" t="n"/>
    </row>
    <row r="552">
      <c r="E552" s="12" t="n"/>
      <c r="I552" s="12" t="n"/>
    </row>
    <row r="553">
      <c r="E553" s="12" t="n"/>
      <c r="I553" s="12" t="n"/>
    </row>
    <row r="554">
      <c r="E554" s="12" t="n"/>
      <c r="I554" s="12" t="n"/>
    </row>
    <row r="555">
      <c r="E555" s="12" t="n"/>
      <c r="I555" s="12" t="n"/>
    </row>
    <row r="556">
      <c r="E556" s="12" t="n"/>
      <c r="I556" s="12" t="n"/>
    </row>
    <row r="557">
      <c r="E557" s="12" t="n"/>
      <c r="I557" s="12" t="n"/>
    </row>
    <row r="558">
      <c r="E558" s="12" t="n"/>
      <c r="I558" s="12" t="n"/>
    </row>
    <row r="559">
      <c r="E559" s="12" t="n"/>
      <c r="I559" s="12" t="n"/>
    </row>
    <row r="560">
      <c r="E560" s="12" t="n"/>
      <c r="I560" s="12" t="n"/>
    </row>
    <row r="561">
      <c r="E561" s="12" t="n"/>
      <c r="I561" s="12" t="n"/>
    </row>
    <row r="562">
      <c r="E562" s="12" t="n"/>
      <c r="I562" s="12" t="n"/>
    </row>
    <row r="563">
      <c r="E563" s="12" t="n"/>
      <c r="I563" s="12" t="n"/>
    </row>
    <row r="564">
      <c r="E564" s="12" t="n"/>
    </row>
    <row r="565">
      <c r="E565" s="12" t="n"/>
    </row>
    <row r="566">
      <c r="E566" s="12" t="n"/>
    </row>
    <row r="567">
      <c r="E567" s="12" t="n"/>
    </row>
    <row r="568">
      <c r="E568" s="12" t="n"/>
    </row>
    <row r="569">
      <c r="E569" s="12" t="n"/>
    </row>
    <row r="570">
      <c r="E570" s="12" t="n"/>
    </row>
    <row r="571">
      <c r="E571" s="12" t="n"/>
    </row>
    <row r="572">
      <c r="E572" s="12" t="n"/>
    </row>
    <row r="573">
      <c r="E573" s="12" t="n"/>
    </row>
    <row r="574">
      <c r="E574" s="12" t="n"/>
    </row>
    <row r="575">
      <c r="E575" s="12" t="n"/>
    </row>
    <row r="576">
      <c r="E576" s="12" t="n"/>
    </row>
    <row r="577">
      <c r="E577" s="12" t="n"/>
    </row>
    <row r="578">
      <c r="E578" s="12" t="n"/>
    </row>
    <row r="579">
      <c r="E579" s="12" t="n"/>
    </row>
    <row r="580">
      <c r="E580" s="12" t="n"/>
    </row>
    <row r="581">
      <c r="E581" s="12" t="n"/>
    </row>
    <row r="582">
      <c r="E582" s="12" t="n"/>
    </row>
    <row r="583">
      <c r="E583" s="12" t="n"/>
    </row>
    <row r="584">
      <c r="E584" s="12" t="n"/>
    </row>
    <row r="585">
      <c r="D585" s="12" t="n"/>
    </row>
    <row r="586">
      <c r="D586" s="12" t="n"/>
    </row>
    <row r="587">
      <c r="D587" s="12" t="n"/>
    </row>
    <row r="588">
      <c r="D588" s="12" t="n"/>
    </row>
    <row r="589">
      <c r="D589" s="12" t="n"/>
    </row>
    <row r="590">
      <c r="D590" s="12" t="n"/>
    </row>
    <row r="591">
      <c r="D591" s="12" t="n"/>
    </row>
    <row r="592">
      <c r="D592" s="12" t="n"/>
    </row>
    <row r="593">
      <c r="D593" s="12" t="n"/>
    </row>
    <row r="594">
      <c r="D594" s="12" t="n"/>
    </row>
    <row r="595">
      <c r="D595" s="12" t="n"/>
    </row>
    <row r="596">
      <c r="D596" s="12" t="n"/>
    </row>
    <row r="597">
      <c r="D597" s="12" t="n"/>
    </row>
    <row r="598">
      <c r="D598" s="12" t="n"/>
    </row>
    <row r="599">
      <c r="D599" s="12" t="n"/>
    </row>
    <row r="600">
      <c r="D600" s="12" t="n"/>
    </row>
    <row r="601">
      <c r="D601" s="12" t="n"/>
    </row>
    <row r="602">
      <c r="D602" s="12" t="n"/>
    </row>
    <row r="603">
      <c r="D603" s="12" t="n"/>
    </row>
    <row r="604">
      <c r="D604" s="12" t="n"/>
    </row>
    <row r="605">
      <c r="D605" s="12" t="n"/>
    </row>
    <row r="606">
      <c r="D606" s="12" t="n"/>
    </row>
    <row r="607">
      <c r="D607" s="12" t="n"/>
    </row>
    <row r="608">
      <c r="D608" s="12" t="n"/>
    </row>
    <row r="609">
      <c r="D609" s="12" t="n"/>
    </row>
    <row r="610">
      <c r="D610" s="12" t="n"/>
    </row>
    <row r="611">
      <c r="D611" s="12" t="n"/>
    </row>
    <row r="612">
      <c r="D612" s="12" t="n"/>
    </row>
    <row r="613">
      <c r="D613" s="12" t="n"/>
    </row>
    <row r="614">
      <c r="D614" s="12" t="n"/>
    </row>
    <row r="615">
      <c r="D615" s="12" t="n"/>
    </row>
    <row r="616">
      <c r="D616" s="12" t="n"/>
    </row>
    <row r="617">
      <c r="D617" s="12" t="n"/>
    </row>
    <row r="618">
      <c r="D618" s="12" t="n"/>
    </row>
    <row r="619">
      <c r="D619" s="12" t="n"/>
    </row>
    <row r="620">
      <c r="D620" s="12" t="n"/>
    </row>
    <row r="621">
      <c r="D621" s="12" t="n"/>
    </row>
    <row r="622">
      <c r="D622" s="12" t="n"/>
    </row>
    <row r="623">
      <c r="D623" s="12" t="n"/>
    </row>
    <row r="624">
      <c r="D624" s="12" t="n"/>
    </row>
    <row r="625">
      <c r="D625" s="12" t="n"/>
    </row>
    <row r="626">
      <c r="D626" s="12" t="n"/>
    </row>
    <row r="627">
      <c r="D627" s="12" t="n"/>
    </row>
    <row r="628">
      <c r="D628" s="12" t="n"/>
    </row>
    <row r="629">
      <c r="D629" s="12" t="n"/>
    </row>
    <row r="630">
      <c r="D630" s="12" t="n"/>
    </row>
    <row r="631">
      <c r="D631" s="12" t="n"/>
    </row>
    <row r="632">
      <c r="D632" s="12" t="n"/>
    </row>
    <row r="633">
      <c r="D633" s="12" t="n"/>
    </row>
    <row r="634">
      <c r="D634" s="12" t="n"/>
    </row>
    <row r="635">
      <c r="D635" s="12" t="n"/>
    </row>
    <row r="636">
      <c r="D636" s="12" t="n"/>
    </row>
    <row r="637">
      <c r="D637" s="12" t="n"/>
    </row>
    <row r="638">
      <c r="D638" s="12" t="n"/>
    </row>
    <row r="639">
      <c r="D639" s="12" t="n"/>
    </row>
    <row r="640">
      <c r="D640" s="12" t="n"/>
    </row>
    <row r="641">
      <c r="D641" s="12" t="n"/>
    </row>
    <row r="642">
      <c r="D642" s="12" t="n"/>
    </row>
    <row r="643">
      <c r="D643" s="12" t="n"/>
    </row>
    <row r="644">
      <c r="D644" s="12" t="n"/>
    </row>
    <row r="645">
      <c r="D645" s="12" t="n"/>
    </row>
    <row r="646">
      <c r="D646" s="12" t="n"/>
    </row>
    <row r="647">
      <c r="D647" s="12" t="n"/>
    </row>
    <row r="648">
      <c r="D648" s="12" t="n"/>
    </row>
    <row r="649">
      <c r="D649" s="12" t="n"/>
    </row>
    <row r="650">
      <c r="D650" s="12" t="n"/>
    </row>
    <row r="651">
      <c r="D651" s="12" t="n"/>
    </row>
    <row r="652">
      <c r="D652" s="12" t="n"/>
    </row>
    <row r="653">
      <c r="D653" s="12" t="n"/>
    </row>
    <row r="654">
      <c r="D654" s="12" t="n"/>
    </row>
    <row r="655">
      <c r="D655" s="12" t="n"/>
    </row>
    <row r="656">
      <c r="D656" s="12" t="n"/>
    </row>
    <row r="657">
      <c r="D657" s="12" t="n"/>
    </row>
    <row r="658">
      <c r="D658" s="12" t="n"/>
    </row>
    <row r="659">
      <c r="D659" s="12" t="n"/>
    </row>
    <row r="660">
      <c r="D660" s="12" t="n"/>
    </row>
    <row r="661">
      <c r="D661" s="12" t="n"/>
    </row>
    <row r="662">
      <c r="D662" s="12" t="n"/>
    </row>
    <row r="663">
      <c r="D663" s="12" t="n"/>
    </row>
    <row r="664">
      <c r="D664" s="12" t="n"/>
    </row>
    <row r="665">
      <c r="D665" s="12" t="n"/>
    </row>
    <row r="666">
      <c r="D666" s="12" t="n"/>
    </row>
    <row r="667">
      <c r="D667" s="12" t="n"/>
    </row>
    <row r="668">
      <c r="D668" s="12" t="n"/>
    </row>
    <row r="669">
      <c r="D669" s="12" t="n"/>
    </row>
    <row r="670">
      <c r="D670" s="12" t="n"/>
    </row>
    <row r="671">
      <c r="D671" s="12" t="n"/>
    </row>
    <row r="672">
      <c r="D672" s="12" t="n"/>
    </row>
    <row r="673">
      <c r="D673" s="12" t="n"/>
    </row>
    <row r="674">
      <c r="D674" s="12" t="n"/>
    </row>
  </sheetData>
  <mergeCells count="2">
    <mergeCell ref="C84:E84"/>
    <mergeCell ref="C76:D76"/>
  </mergeCells>
  <pageMargins left="0.7" right="0.7" top="0.75" bottom="0.75" header="0.3" footer="0.3"/>
  <pageSetup orientation="portrait" paperSize="9" horizontalDpi="300" verticalDpi="0"/>
</worksheet>
</file>

<file path=xl/worksheets/sheet4.xml><?xml version="1.0" encoding="utf-8"?>
<worksheet xmlns="http://schemas.openxmlformats.org/spreadsheetml/2006/main">
  <sheetPr>
    <outlinePr summaryBelow="1" summaryRight="1"/>
    <pageSetUpPr/>
  </sheetPr>
  <dimension ref="A1:AI112"/>
  <sheetViews>
    <sheetView topLeftCell="A65" workbookViewId="0">
      <selection activeCell="B85" sqref="B85"/>
    </sheetView>
  </sheetViews>
  <sheetFormatPr baseColWidth="8" defaultColWidth="9.140625" defaultRowHeight="15"/>
  <cols>
    <col width="12.7109375" bestFit="1" customWidth="1" style="2" min="1" max="1"/>
    <col width="71.42578125" bestFit="1" customWidth="1" style="1" min="2" max="2"/>
    <col width="6.42578125" customWidth="1" style="2" min="3" max="3"/>
    <col width="19.42578125" bestFit="1" customWidth="1" style="2" min="4" max="4"/>
    <col width="19.42578125" customWidth="1" style="2" min="5" max="6"/>
    <col width="19.42578125" bestFit="1" customWidth="1" style="2" min="7" max="7"/>
    <col width="20.42578125" bestFit="1" customWidth="1" style="2" min="8" max="8"/>
    <col width="19.85546875" bestFit="1" customWidth="1" style="2" min="9" max="9"/>
    <col width="20.42578125" bestFit="1" customWidth="1" style="2" min="10" max="10"/>
    <col width="15.140625" bestFit="1" customWidth="1" style="2" min="11" max="11"/>
    <col width="17.85546875" bestFit="1" customWidth="1" style="2" min="12" max="12"/>
    <col width="21.42578125" bestFit="1" customWidth="1" style="2" min="13" max="13"/>
    <col width="15.7109375" bestFit="1" customWidth="1" style="2" min="14" max="14"/>
    <col width="22.42578125" bestFit="1" customWidth="1" style="2" min="15" max="15"/>
    <col width="19.85546875" bestFit="1" customWidth="1" style="2" min="16" max="16"/>
    <col width="19.85546875" customWidth="1" style="2" min="17" max="20"/>
    <col width="14.7109375" bestFit="1" customWidth="1" style="2" min="21" max="21"/>
    <col width="22" bestFit="1" customWidth="1" style="2" min="22" max="22"/>
    <col width="22.42578125" bestFit="1" customWidth="1" style="2" min="23" max="23"/>
    <col width="22" customWidth="1" style="2" min="24" max="24"/>
    <col width="18.85546875" bestFit="1" customWidth="1" style="2" min="25" max="25"/>
    <col width="15.42578125" bestFit="1" customWidth="1" style="2" min="26" max="26"/>
    <col width="17.7109375" bestFit="1" customWidth="1" style="2" min="27" max="27"/>
    <col width="17.7109375" customWidth="1" style="2" min="28" max="28"/>
    <col width="21.42578125" bestFit="1" customWidth="1" style="2" min="29" max="29"/>
    <col width="20.140625" bestFit="1" customWidth="1" style="2" min="30" max="30"/>
    <col width="15.42578125" bestFit="1" customWidth="1" style="2" min="31" max="31"/>
    <col width="19.140625" customWidth="1" style="2" min="32" max="32"/>
    <col width="19.42578125" bestFit="1" customWidth="1" style="2" min="33" max="33"/>
    <col width="9.140625" customWidth="1" style="2" min="34" max="16384"/>
  </cols>
  <sheetData>
    <row r="1" ht="48" customHeight="1">
      <c r="B1" s="2" t="n"/>
      <c r="D1" s="24" t="inlineStr">
        <is>
          <t>Hexagon head bolt
DIN933 - M10X30</t>
        </is>
      </c>
      <c r="E1" s="84" t="inlineStr">
        <is>
          <t>Hexagon head bolt
DIN933 - M10X60</t>
        </is>
      </c>
      <c r="F1" s="25" t="inlineStr">
        <is>
          <t>Hexagon head bolt
DIN933 - M10X80</t>
        </is>
      </c>
      <c r="G1" s="25" t="inlineStr">
        <is>
          <t>Hexagon head bolt
DIN933 - M10X90</t>
        </is>
      </c>
      <c r="H1" s="25" t="inlineStr">
        <is>
          <t>Hexagon head bolt
DIN933 - M10X100</t>
        </is>
      </c>
      <c r="I1" s="25" t="inlineStr">
        <is>
          <t>Hexagon head bolt
DIN933 - M10X110</t>
        </is>
      </c>
      <c r="J1" s="25" t="inlineStr">
        <is>
          <t>Hexagon head bolt
DIN933 - M10X140</t>
        </is>
      </c>
      <c r="K1" s="25" t="inlineStr">
        <is>
          <t>Hexagon nut
DIN934 - M10</t>
        </is>
      </c>
      <c r="L1" s="25" t="inlineStr">
        <is>
          <t>Plain washer
DIN125-1A - M10</t>
        </is>
      </c>
      <c r="M1" s="25" t="inlineStr">
        <is>
          <t>Thread forming bolt
DIN7500D - M10x30</t>
        </is>
      </c>
      <c r="N1" s="25" t="inlineStr">
        <is>
          <t>Nut Cap
PE black - M10</t>
        </is>
      </c>
      <c r="O1" s="25" t="inlineStr">
        <is>
          <t>Hexagon socket
button head screw
ISO 7380-2 - M10x40</t>
        </is>
      </c>
      <c r="P1" s="25" t="inlineStr">
        <is>
          <t>Self-drilling screw
neoprene washer
DIN7504K - 6,3x25</t>
        </is>
      </c>
      <c r="Q1" s="25" t="inlineStr">
        <is>
          <t>Wood screw
Stainless A2
4x35mm</t>
        </is>
      </c>
      <c r="R1" s="84" t="inlineStr">
        <is>
          <t>Self-drilling screw
with wings
5,5x50mm</t>
        </is>
      </c>
      <c r="S1" s="84" t="inlineStr">
        <is>
          <t>Blind rivet
Waterproof
DIN7337A - 4,8x12,5</t>
        </is>
      </c>
      <c r="T1" s="97" t="inlineStr">
        <is>
          <t>Nylon sleeve
PA6 - Ø26/14x6mm</t>
        </is>
      </c>
      <c r="U1" s="84" t="inlineStr">
        <is>
          <t>Leafguard
Ø50/70mm</t>
        </is>
      </c>
      <c r="V1" s="84" t="inlineStr">
        <is>
          <t>Hybrid polymer sealant
400ml - Transparent
Proma Bond 334906</t>
        </is>
      </c>
      <c r="W1" s="84" t="inlineStr">
        <is>
          <t>Anchor rod - Zinc plated
M12x160-5.8
Würth W-VD-A/S</t>
        </is>
      </c>
      <c r="X1" s="84" t="inlineStr">
        <is>
          <t>Chemical anchor
capsule M12x95
Würth W-VPZ 12</t>
        </is>
      </c>
      <c r="Y1" s="84" t="inlineStr">
        <is>
          <t>Wedge Anchor
Baraco FM753ZN
M12/40x139mm</t>
        </is>
      </c>
      <c r="Z1" s="84" t="inlineStr">
        <is>
          <t>Hexagon domed
cap nut
Zinc plated M12</t>
        </is>
      </c>
      <c r="AA1" s="84" t="inlineStr">
        <is>
          <t>Panel Clamp - Uni
Double - RAL9005
incl. screw and cap</t>
        </is>
      </c>
      <c r="AB1" s="84" t="inlineStr">
        <is>
          <t>Panel Clamp - Uni
Single - RAL9005
incl. screw and cap</t>
        </is>
      </c>
      <c r="AC1" s="25" t="inlineStr">
        <is>
          <t>Plug
107VS VM 12 - RAL7035
OBO 2029517</t>
        </is>
      </c>
      <c r="AD1" s="25" t="inlineStr">
        <is>
          <t>Conduit coupler
20mm - Straight
RAL7035 - Helia 34623</t>
        </is>
      </c>
      <c r="AE1" s="25" t="inlineStr">
        <is>
          <t>Conduit end cap
20mm - RAL7035
Helia 34523</t>
        </is>
      </c>
      <c r="AF1" s="25" t="inlineStr">
        <is>
          <t>Conduit clip
M6 19-22 - RAL7035
OBO 2140233</t>
        </is>
      </c>
      <c r="AG1" s="26" t="inlineStr">
        <is>
          <t>Self-drilling screw
DIN7504M-H - 4,2x25</t>
        </is>
      </c>
    </row>
    <row r="2">
      <c r="B2" s="2" t="n"/>
      <c r="C2" s="32" t="inlineStr">
        <is>
          <t>QTY</t>
        </is>
      </c>
      <c r="D2" s="18" t="inlineStr">
        <is>
          <t>15.02.02.0124</t>
        </is>
      </c>
      <c r="E2" s="85" t="inlineStr">
        <is>
          <t>15.02.02.0131</t>
        </is>
      </c>
      <c r="F2" s="19" t="inlineStr">
        <is>
          <t>15.02.02.0135</t>
        </is>
      </c>
      <c r="G2" s="19" t="inlineStr">
        <is>
          <t>15.02.02.0136</t>
        </is>
      </c>
      <c r="H2" s="19" t="inlineStr">
        <is>
          <t>15.02.02.0137</t>
        </is>
      </c>
      <c r="I2" s="19" t="inlineStr">
        <is>
          <t>15.02.02.0138</t>
        </is>
      </c>
      <c r="J2" s="19" t="inlineStr">
        <is>
          <t>15.02.02.0142</t>
        </is>
      </c>
      <c r="K2" s="19" t="inlineStr">
        <is>
          <t>15.03.01.0009</t>
        </is>
      </c>
      <c r="L2" s="19" t="inlineStr">
        <is>
          <t>15.08.03.0006</t>
        </is>
      </c>
      <c r="M2" s="19" t="inlineStr">
        <is>
          <t>15.02.11.0141</t>
        </is>
      </c>
      <c r="N2" s="19" t="inlineStr">
        <is>
          <t>19.02.02.0006</t>
        </is>
      </c>
      <c r="O2" s="19" t="inlineStr">
        <is>
          <t>15.02.05.0066</t>
        </is>
      </c>
      <c r="P2" s="19" t="inlineStr">
        <is>
          <t>15.06.02.0050</t>
        </is>
      </c>
      <c r="Q2" s="19" t="inlineStr">
        <is>
          <t>16.04.03.0124</t>
        </is>
      </c>
      <c r="R2" s="85" t="inlineStr">
        <is>
          <t>14.09.01.0002</t>
        </is>
      </c>
      <c r="S2" s="85" t="inlineStr">
        <is>
          <t>17.04.01.0058</t>
        </is>
      </c>
      <c r="T2" s="83" t="inlineStr">
        <is>
          <t>19.04.00.0001</t>
        </is>
      </c>
      <c r="U2" s="85" t="inlineStr">
        <is>
          <t>27.05.01.0001</t>
        </is>
      </c>
      <c r="V2" s="85" t="inlineStr">
        <is>
          <t>34.03.02.0034</t>
        </is>
      </c>
      <c r="W2" s="2" t="inlineStr">
        <is>
          <t>18.01.18.0001</t>
        </is>
      </c>
      <c r="X2" s="2" t="inlineStr">
        <is>
          <t>18.03.03.0001</t>
        </is>
      </c>
      <c r="Y2" s="85" t="inlineStr">
        <is>
          <t>18.01.09.0142</t>
        </is>
      </c>
      <c r="Z2" s="85" t="inlineStr">
        <is>
          <t>15.03.04.0006</t>
        </is>
      </c>
      <c r="AA2" s="85" t="inlineStr">
        <is>
          <t>20.05.01.0004</t>
        </is>
      </c>
      <c r="AB2" s="79" t="inlineStr">
        <is>
          <t>20.05.01.0005</t>
        </is>
      </c>
      <c r="AC2" s="2" t="inlineStr">
        <is>
          <t>30.03.03.0027</t>
        </is>
      </c>
      <c r="AD2" s="19" t="inlineStr">
        <is>
          <t>30.04.04.0002</t>
        </is>
      </c>
      <c r="AE2" s="19" t="inlineStr">
        <is>
          <t>30.04.03.0004</t>
        </is>
      </c>
      <c r="AF2" s="19" t="inlineStr">
        <is>
          <t>30.04.02.0008</t>
        </is>
      </c>
      <c r="AG2" s="20" t="inlineStr">
        <is>
          <t>15.06.05.0011</t>
        </is>
      </c>
    </row>
    <row r="3">
      <c r="A3" s="13" t="inlineStr">
        <is>
          <t>43.09.06.0001</t>
        </is>
      </c>
      <c r="B3" s="27" t="inlineStr">
        <is>
          <t>Domino - Mof A - Galvanized</t>
        </is>
      </c>
      <c r="C3" s="30">
        <f>_xlfn.XLOOKUP(A3,List!$C$2:$C$89,List!$E$2:$E$89,"",0)</f>
        <v/>
      </c>
      <c r="D3" s="13" t="n">
        <v>4</v>
      </c>
      <c r="E3" s="14" t="n"/>
      <c r="F3" s="14" t="n"/>
      <c r="G3" s="14" t="n"/>
      <c r="H3" s="14" t="n">
        <v>1</v>
      </c>
      <c r="I3" s="14" t="n"/>
      <c r="J3" s="14" t="n"/>
      <c r="K3" s="14" t="n">
        <v>5</v>
      </c>
      <c r="L3" s="14" t="n">
        <v>10</v>
      </c>
      <c r="M3" s="14" t="n">
        <v>2</v>
      </c>
      <c r="N3" s="14" t="n"/>
      <c r="O3" s="14" t="n"/>
      <c r="P3" s="14" t="n"/>
      <c r="Q3" s="14" t="n"/>
      <c r="R3" s="14" t="n"/>
      <c r="S3" s="14" t="n"/>
      <c r="T3" s="14" t="n"/>
      <c r="U3" s="14" t="n">
        <v>1</v>
      </c>
      <c r="V3" s="14">
        <f>0.25*Calc!$D$24</f>
        <v/>
      </c>
      <c r="W3" s="14" t="n"/>
      <c r="X3" s="14" t="n"/>
      <c r="Y3" s="14" t="n"/>
      <c r="Z3" s="14" t="n"/>
      <c r="AA3" s="14" t="n"/>
      <c r="AB3" s="14" t="n"/>
      <c r="AC3" s="14" t="n"/>
      <c r="AD3" s="14" t="n"/>
      <c r="AE3" s="14" t="n"/>
      <c r="AF3" s="14" t="n"/>
      <c r="AG3" s="15" t="n"/>
    </row>
    <row r="4">
      <c r="A4" s="16" t="inlineStr">
        <is>
          <t>43.09.06.0006</t>
        </is>
      </c>
      <c r="B4" s="28" t="inlineStr">
        <is>
          <t>Domino - Mof A - Powder Coated</t>
        </is>
      </c>
      <c r="C4" s="31">
        <f>_xlfn.XLOOKUP(A4,List!$C$2:$C$89,List!$E$2:$E$89,"",0)</f>
        <v/>
      </c>
      <c r="D4" s="16" t="n">
        <v>4</v>
      </c>
      <c r="H4" s="2" t="n">
        <v>1</v>
      </c>
      <c r="K4" s="2" t="n">
        <v>5</v>
      </c>
      <c r="L4" s="2" t="n">
        <v>10</v>
      </c>
      <c r="M4" s="2" t="n">
        <v>2</v>
      </c>
      <c r="N4" s="2" t="n">
        <v>12</v>
      </c>
      <c r="U4" s="2" t="n">
        <v>1</v>
      </c>
      <c r="V4" s="2">
        <f>0.25*Calc!$D$24</f>
        <v/>
      </c>
      <c r="AG4" s="17" t="n"/>
    </row>
    <row r="5">
      <c r="A5" s="16" t="inlineStr">
        <is>
          <t>43.09.06.0002</t>
        </is>
      </c>
      <c r="B5" s="28" t="inlineStr">
        <is>
          <t>Domino - Mof B - Galvanized</t>
        </is>
      </c>
      <c r="C5" s="31">
        <f>_xlfn.XLOOKUP(A5,List!$C$2:$C$89,List!$E$2:$E$89,"",0)</f>
        <v/>
      </c>
      <c r="D5" s="16" t="n">
        <v>4</v>
      </c>
      <c r="H5" s="2" t="n">
        <v>1</v>
      </c>
      <c r="K5" s="2" t="n">
        <v>5</v>
      </c>
      <c r="L5" s="2" t="n">
        <v>10</v>
      </c>
      <c r="M5" s="2" t="n">
        <v>2</v>
      </c>
      <c r="V5" s="2">
        <f>0.25*Calc!$D$24</f>
        <v/>
      </c>
      <c r="AG5" s="17" t="n"/>
    </row>
    <row r="6">
      <c r="A6" s="16" t="inlineStr">
        <is>
          <t>43.09.06.0007</t>
        </is>
      </c>
      <c r="B6" s="28" t="inlineStr">
        <is>
          <t>Domino - Mof B - Powder Coated</t>
        </is>
      </c>
      <c r="C6" s="31">
        <f>_xlfn.XLOOKUP(A6,List!$C$2:$C$89,List!$E$2:$E$89,"",0)</f>
        <v/>
      </c>
      <c r="D6" s="16" t="n">
        <v>4</v>
      </c>
      <c r="H6" s="2" t="n">
        <v>1</v>
      </c>
      <c r="K6" s="2" t="n">
        <v>5</v>
      </c>
      <c r="L6" s="2" t="n">
        <v>10</v>
      </c>
      <c r="M6" s="2" t="n">
        <v>2</v>
      </c>
      <c r="N6" s="2" t="n">
        <v>12</v>
      </c>
      <c r="V6" s="2">
        <f>0.25*Calc!$D$24</f>
        <v/>
      </c>
      <c r="AG6" s="17" t="n"/>
    </row>
    <row r="7">
      <c r="A7" s="16" t="inlineStr">
        <is>
          <t>43.09.06.0003</t>
        </is>
      </c>
      <c r="B7" s="28" t="inlineStr">
        <is>
          <t>Domino - Mof C - Galvanized</t>
        </is>
      </c>
      <c r="C7" s="31">
        <f>_xlfn.XLOOKUP(A7,List!$C$2:$C$89,List!$E$2:$E$89,"",0)</f>
        <v/>
      </c>
      <c r="D7" s="16" t="n">
        <v>6</v>
      </c>
      <c r="H7" s="2" t="n">
        <v>1</v>
      </c>
      <c r="K7" s="2" t="n">
        <v>7</v>
      </c>
      <c r="L7" s="2" t="n">
        <v>14</v>
      </c>
      <c r="M7" s="2" t="n">
        <v>2</v>
      </c>
      <c r="U7" s="2" t="n">
        <v>1</v>
      </c>
      <c r="V7" s="2">
        <f>0.5*Calc!$D$24</f>
        <v/>
      </c>
      <c r="AG7" s="17" t="n"/>
    </row>
    <row r="8">
      <c r="A8" s="16" t="inlineStr">
        <is>
          <t>43.09.06.0008</t>
        </is>
      </c>
      <c r="B8" s="28" t="inlineStr">
        <is>
          <t>Domino - Mof C - Powder Coated</t>
        </is>
      </c>
      <c r="C8" s="31">
        <f>_xlfn.XLOOKUP(A8,List!$C$2:$C$89,List!$E$2:$E$89,"",0)</f>
        <v/>
      </c>
      <c r="D8" s="16" t="n">
        <v>6</v>
      </c>
      <c r="H8" s="2" t="n">
        <v>1</v>
      </c>
      <c r="K8" s="2" t="n">
        <v>7</v>
      </c>
      <c r="L8" s="2" t="n">
        <v>14</v>
      </c>
      <c r="M8" s="2" t="n">
        <v>2</v>
      </c>
      <c r="N8" s="2" t="n">
        <v>16</v>
      </c>
      <c r="U8" s="2" t="n">
        <v>1</v>
      </c>
      <c r="V8" s="2">
        <f>0.5*Calc!$D$24</f>
        <v/>
      </c>
      <c r="AG8" s="17" t="n"/>
    </row>
    <row r="9">
      <c r="A9" s="16" t="inlineStr">
        <is>
          <t>43.09.06.0005</t>
        </is>
      </c>
      <c r="B9" s="28" t="inlineStr">
        <is>
          <t>Domino - Mof D - Galvanized</t>
        </is>
      </c>
      <c r="C9" s="31">
        <f>_xlfn.XLOOKUP(A9,List!$C$2:$C$89,List!$E$2:$E$89,"",0)</f>
        <v/>
      </c>
      <c r="D9" s="16" t="n">
        <v>4</v>
      </c>
      <c r="H9" s="2" t="n">
        <v>1</v>
      </c>
      <c r="K9" s="2" t="n">
        <v>5</v>
      </c>
      <c r="L9" s="2" t="n">
        <v>10</v>
      </c>
      <c r="M9" s="2" t="n">
        <v>2</v>
      </c>
      <c r="V9" s="2">
        <f>0.25*Calc!$D$24</f>
        <v/>
      </c>
      <c r="AG9" s="17" t="n"/>
    </row>
    <row r="10">
      <c r="A10" s="16" t="inlineStr">
        <is>
          <t>43.09.06.0010</t>
        </is>
      </c>
      <c r="B10" s="28" t="inlineStr">
        <is>
          <t>Domino - Mof D - Powder Coated</t>
        </is>
      </c>
      <c r="C10" s="31">
        <f>_xlfn.XLOOKUP(A10,List!$C$2:$C$89,List!$E$2:$E$89,"",0)</f>
        <v/>
      </c>
      <c r="D10" s="16" t="n">
        <v>4</v>
      </c>
      <c r="H10" s="2" t="n">
        <v>1</v>
      </c>
      <c r="K10" s="2" t="n">
        <v>5</v>
      </c>
      <c r="L10" s="2" t="n">
        <v>10</v>
      </c>
      <c r="M10" s="2" t="n">
        <v>2</v>
      </c>
      <c r="N10" s="2" t="n">
        <v>12</v>
      </c>
      <c r="V10" s="2">
        <f>0.25*Calc!$D$24</f>
        <v/>
      </c>
      <c r="AG10" s="17" t="n"/>
    </row>
    <row r="11">
      <c r="A11" s="16" t="inlineStr">
        <is>
          <t>43.09.06.0004</t>
        </is>
      </c>
      <c r="B11" s="28" t="inlineStr">
        <is>
          <t>Domino - Mof W - Galvanized</t>
        </is>
      </c>
      <c r="C11" s="31">
        <f>_xlfn.XLOOKUP(A11,List!$C$2:$C$89,List!$E$2:$E$89,"",0)</f>
        <v/>
      </c>
      <c r="D11" s="16" t="n">
        <v>1</v>
      </c>
      <c r="H11" s="2" t="n">
        <v>1</v>
      </c>
      <c r="K11" s="2" t="n">
        <v>2</v>
      </c>
      <c r="L11" s="2" t="n">
        <v>4</v>
      </c>
      <c r="M11" s="2" t="n">
        <v>2</v>
      </c>
      <c r="AG11" s="17" t="n"/>
    </row>
    <row r="12">
      <c r="A12" s="16" t="inlineStr">
        <is>
          <t>43.09.06.0009</t>
        </is>
      </c>
      <c r="B12" s="28" t="inlineStr">
        <is>
          <t>Domino - Mof W - Powder Coated</t>
        </is>
      </c>
      <c r="C12" s="31">
        <f>_xlfn.XLOOKUP(A12,List!$C$2:$C$89,List!$E$2:$E$89,"",0)</f>
        <v/>
      </c>
      <c r="D12" s="16" t="n">
        <v>1</v>
      </c>
      <c r="H12" s="2" t="n">
        <v>1</v>
      </c>
      <c r="K12" s="2" t="n">
        <v>2</v>
      </c>
      <c r="L12" s="2" t="n">
        <v>4</v>
      </c>
      <c r="M12" s="2" t="n">
        <v>2</v>
      </c>
      <c r="N12" s="2" t="n">
        <v>6</v>
      </c>
      <c r="AG12" s="17" t="n"/>
    </row>
    <row r="13">
      <c r="A13" s="16" t="inlineStr">
        <is>
          <t>43.03.10.0002</t>
        </is>
      </c>
      <c r="B13" s="28" t="inlineStr">
        <is>
          <t>Domino - Foot - 70x4 - L605 - Galvanized</t>
        </is>
      </c>
      <c r="C13" s="31">
        <f>_xlfn.XLOOKUP(A13,List!$C$2:$C$89,List!$E$2:$E$89,"",0)</f>
        <v/>
      </c>
      <c r="D13" s="16" t="n"/>
      <c r="M13" s="2" t="n">
        <v>4</v>
      </c>
      <c r="W13" s="2">
        <f>4*Calc!$D$22</f>
        <v/>
      </c>
      <c r="X13" s="2">
        <f>4*Calc!$D$22</f>
        <v/>
      </c>
      <c r="Y13" s="2">
        <f>4*Calc!$D$23</f>
        <v/>
      </c>
      <c r="Z13" s="2">
        <f>IF((Calc!$D$23+Calc!$D$22)&gt;0,4,0)</f>
        <v/>
      </c>
      <c r="AG13" s="17" t="n"/>
    </row>
    <row r="14">
      <c r="A14" s="16" t="inlineStr">
        <is>
          <t>43.03.10.0001</t>
        </is>
      </c>
      <c r="B14" s="28" t="inlineStr">
        <is>
          <t>Domino - Foot - 70x4 - L605 - Outflow - Galvanized</t>
        </is>
      </c>
      <c r="C14" s="31">
        <f>_xlfn.XLOOKUP(A14,List!$C$2:$C$89,List!$E$2:$E$89,"",0)</f>
        <v/>
      </c>
      <c r="D14" s="16" t="n"/>
      <c r="M14" s="2" t="n">
        <v>4</v>
      </c>
      <c r="W14" s="2">
        <f>4*Calc!$D$22</f>
        <v/>
      </c>
      <c r="X14" s="2">
        <f>4*Calc!$D$22</f>
        <v/>
      </c>
      <c r="Y14" s="2">
        <f>4*Calc!$D$23</f>
        <v/>
      </c>
      <c r="Z14" s="2">
        <f>IF((Calc!$D$23+Calc!$D$22)&gt;0,4,0)</f>
        <v/>
      </c>
      <c r="AG14" s="17" t="n"/>
    </row>
    <row r="15">
      <c r="A15" s="16" t="inlineStr">
        <is>
          <t>43.03.10.0004</t>
        </is>
      </c>
      <c r="B15" s="28" t="inlineStr">
        <is>
          <t>Domino - Foot - 70x4 - L605 - Outflow - Powder Coated</t>
        </is>
      </c>
      <c r="C15" s="31">
        <f>_xlfn.XLOOKUP(A15,List!$C$2:$C$89,List!$E$2:$E$89,"",0)</f>
        <v/>
      </c>
      <c r="D15" s="16" t="n"/>
      <c r="M15" s="2" t="n">
        <v>4</v>
      </c>
      <c r="N15" s="2" t="n">
        <v>4</v>
      </c>
      <c r="W15" s="2">
        <f>4*Calc!$D$22</f>
        <v/>
      </c>
      <c r="X15" s="2">
        <f>4*Calc!$D$22</f>
        <v/>
      </c>
      <c r="Y15" s="2">
        <f>4*Calc!$D$23</f>
        <v/>
      </c>
      <c r="Z15" s="2">
        <f>IF((Calc!$D$23+Calc!$D$22)&gt;0,4,0)</f>
        <v/>
      </c>
      <c r="AG15" s="17" t="n"/>
    </row>
    <row r="16">
      <c r="A16" s="16" t="inlineStr">
        <is>
          <t>43.03.10.0005</t>
        </is>
      </c>
      <c r="B16" s="28" t="inlineStr">
        <is>
          <t>Domino - Foot - 70x4 - L605 - Powder Coated</t>
        </is>
      </c>
      <c r="C16" s="31">
        <f>_xlfn.XLOOKUP(A16,List!$C$2:$C$89,List!$E$2:$E$89,"",0)</f>
        <v/>
      </c>
      <c r="D16" s="16" t="n"/>
      <c r="M16" s="2" t="n">
        <v>4</v>
      </c>
      <c r="N16" s="2" t="n">
        <v>4</v>
      </c>
      <c r="W16" s="2">
        <f>4*Calc!$D$22</f>
        <v/>
      </c>
      <c r="X16" s="2">
        <f>4*Calc!$D$22</f>
        <v/>
      </c>
      <c r="Y16" s="2">
        <f>4*Calc!$D$23</f>
        <v/>
      </c>
      <c r="Z16" s="2">
        <f>IF((Calc!$D$23+Calc!$D$22)&gt;0,4,0)</f>
        <v/>
      </c>
      <c r="AG16" s="17" t="n"/>
    </row>
    <row r="17">
      <c r="A17" s="79" t="inlineStr">
        <is>
          <t>43.03.10.0003</t>
        </is>
      </c>
      <c r="B17" s="79" t="inlineStr">
        <is>
          <t>Domino - Foot 70x50x3 - L600 - Galvanized</t>
        </is>
      </c>
      <c r="C17" s="31">
        <f>_xlfn.XLOOKUP(A17,List!$C$2:$C$89,List!$E$2:$E$89,"",0)</f>
        <v/>
      </c>
      <c r="D17" s="16" t="n">
        <v>1</v>
      </c>
      <c r="K17" s="2" t="n">
        <v>1</v>
      </c>
      <c r="L17" s="2" t="n">
        <v>2</v>
      </c>
      <c r="M17" s="2" t="n">
        <v>4</v>
      </c>
      <c r="W17" s="2">
        <f>2*Calc!$D$22</f>
        <v/>
      </c>
      <c r="X17" s="2">
        <f>2*Calc!$D$22</f>
        <v/>
      </c>
      <c r="Y17" s="2">
        <f>2*Calc!$D$23</f>
        <v/>
      </c>
      <c r="Z17" s="2">
        <f>IF((Calc!$D$23+Calc!$D$22)&gt;0,2,0)</f>
        <v/>
      </c>
      <c r="AG17" s="17" t="n"/>
    </row>
    <row r="18">
      <c r="A18" s="79" t="inlineStr">
        <is>
          <t>43.03.10.0006</t>
        </is>
      </c>
      <c r="B18" s="79" t="inlineStr">
        <is>
          <t>Domino - Foot 70x50x3 - L600 - Powder coated</t>
        </is>
      </c>
      <c r="C18" s="31">
        <f>_xlfn.XLOOKUP(A18,List!$C$2:$C$89,List!$E$2:$E$89,"",0)</f>
        <v/>
      </c>
      <c r="D18" s="16" t="n">
        <v>1</v>
      </c>
      <c r="K18" s="2" t="n">
        <v>1</v>
      </c>
      <c r="L18" s="2" t="n">
        <v>2</v>
      </c>
      <c r="M18" s="2" t="n">
        <v>4</v>
      </c>
      <c r="N18" s="2" t="n">
        <v>6</v>
      </c>
      <c r="W18" s="2">
        <f>2*Calc!$D$22</f>
        <v/>
      </c>
      <c r="X18" s="2">
        <f>2*Calc!$D$22</f>
        <v/>
      </c>
      <c r="Y18" s="2">
        <f>2*Calc!$D$23</f>
        <v/>
      </c>
      <c r="Z18" s="2">
        <f>IF((Calc!$D$23+Calc!$D$22)&gt;0,2,0)</f>
        <v/>
      </c>
      <c r="AG18" s="17" t="n"/>
    </row>
    <row r="19">
      <c r="A19" s="88" t="inlineStr">
        <is>
          <t>37.60.06.0168</t>
        </is>
      </c>
      <c r="B19" s="89" t="inlineStr">
        <is>
          <t>Domino - U-Profile - 80x50x3 - L1890 - 3Ø13 - Galvanized</t>
        </is>
      </c>
      <c r="C19" s="31">
        <f>_xlfn.XLOOKUP(A19,List!$C$2:$C$89,List!$E$2:$E$89,"",0)</f>
        <v/>
      </c>
      <c r="D19" s="16" t="n">
        <v>3</v>
      </c>
      <c r="K19" s="2" t="n">
        <v>3</v>
      </c>
      <c r="L19" s="2" t="n">
        <v>6</v>
      </c>
      <c r="AG19" s="17" t="n"/>
    </row>
    <row r="20">
      <c r="A20" s="88" t="inlineStr">
        <is>
          <t>43.17.06.0004</t>
        </is>
      </c>
      <c r="B20" s="89" t="inlineStr">
        <is>
          <t>Domino - U-Profile - 80x50x3 - L1890 - 3Ø13 - Powder Coated</t>
        </is>
      </c>
      <c r="C20" s="31">
        <f>_xlfn.XLOOKUP(A20,List!$C$2:$C$89,List!$E$2:$E$89,"",0)</f>
        <v/>
      </c>
      <c r="D20" s="16" t="n">
        <v>3</v>
      </c>
      <c r="K20" s="2" t="n">
        <v>3</v>
      </c>
      <c r="L20" s="2" t="n">
        <v>6</v>
      </c>
      <c r="N20" s="2" t="n">
        <v>6</v>
      </c>
      <c r="AG20" s="17" t="n"/>
    </row>
    <row r="21">
      <c r="A21" s="88" t="inlineStr">
        <is>
          <t>37.60.06.0169</t>
        </is>
      </c>
      <c r="B21" s="89" t="inlineStr">
        <is>
          <t>Domino - U-Profile - 80x50x3 - L2390 - 3Ø13 - Galvanized</t>
        </is>
      </c>
      <c r="C21" s="31">
        <f>_xlfn.XLOOKUP(A21,List!$C$2:$C$89,List!$E$2:$E$89,"",0)</f>
        <v/>
      </c>
      <c r="D21" s="16" t="n">
        <v>3</v>
      </c>
      <c r="K21" s="2" t="n">
        <v>3</v>
      </c>
      <c r="L21" s="2" t="n">
        <v>6</v>
      </c>
      <c r="AG21" s="17" t="n"/>
    </row>
    <row r="22">
      <c r="A22" s="88" t="inlineStr">
        <is>
          <t>43.17.06.0005</t>
        </is>
      </c>
      <c r="B22" s="89" t="inlineStr">
        <is>
          <t>Domino - U-Profile - 80x50x3 - L2390 - 3Ø13 - Powder Coated</t>
        </is>
      </c>
      <c r="C22" s="31">
        <f>_xlfn.XLOOKUP(A22,List!$C$2:$C$89,List!$E$2:$E$89,"",0)</f>
        <v/>
      </c>
      <c r="D22" s="16" t="n">
        <v>3</v>
      </c>
      <c r="K22" s="2" t="n">
        <v>3</v>
      </c>
      <c r="L22" s="2" t="n">
        <v>6</v>
      </c>
      <c r="N22" s="2" t="n">
        <v>6</v>
      </c>
      <c r="AG22" s="17" t="n"/>
    </row>
    <row r="23">
      <c r="A23" s="88" t="inlineStr">
        <is>
          <t>37.60.06.0017</t>
        </is>
      </c>
      <c r="B23" s="89" t="inlineStr">
        <is>
          <t>Domino - U-Profile - 80x50x3 - L3920 - 4Ø13 - Galvanized</t>
        </is>
      </c>
      <c r="C23" s="31">
        <f>_xlfn.XLOOKUP(A23,List!$C$2:$C$89,List!$E$2:$E$89,"",0)</f>
        <v/>
      </c>
      <c r="D23" s="16" t="n">
        <v>4</v>
      </c>
      <c r="K23" s="2" t="n">
        <v>4</v>
      </c>
      <c r="L23" s="2" t="n">
        <v>8</v>
      </c>
      <c r="AG23" s="17" t="n"/>
    </row>
    <row r="24">
      <c r="A24" s="88" t="inlineStr">
        <is>
          <t>43.17.06.0001</t>
        </is>
      </c>
      <c r="B24" s="89" t="inlineStr">
        <is>
          <t>Domino - U-Profile - 80x50x3 - L3920 - 4Ø13 - Powder Coated</t>
        </is>
      </c>
      <c r="C24" s="31">
        <f>_xlfn.XLOOKUP(A24,List!$C$2:$C$89,List!$E$2:$E$89,"",0)</f>
        <v/>
      </c>
      <c r="D24" s="16" t="n">
        <v>4</v>
      </c>
      <c r="K24" s="2" t="n">
        <v>4</v>
      </c>
      <c r="L24" s="2" t="n">
        <v>8</v>
      </c>
      <c r="N24" s="2" t="n">
        <v>8</v>
      </c>
      <c r="AG24" s="17" t="n"/>
    </row>
    <row r="25">
      <c r="A25" s="88" t="inlineStr">
        <is>
          <t>37.60.06.0018</t>
        </is>
      </c>
      <c r="B25" s="89" t="inlineStr">
        <is>
          <t>Domino - U-Profile - 80x50x3 - L4920 - 4Ø13 - Galvanized</t>
        </is>
      </c>
      <c r="C25" s="31">
        <f>_xlfn.XLOOKUP(A25,List!$C$2:$C$89,List!$E$2:$E$89,"",0)</f>
        <v/>
      </c>
      <c r="D25" s="16" t="n">
        <v>4</v>
      </c>
      <c r="K25" s="2" t="n">
        <v>4</v>
      </c>
      <c r="L25" s="2" t="n">
        <v>8</v>
      </c>
      <c r="AG25" s="17" t="n"/>
    </row>
    <row r="26">
      <c r="A26" s="88" t="inlineStr">
        <is>
          <t>43.17.06.0002</t>
        </is>
      </c>
      <c r="B26" s="89" t="inlineStr">
        <is>
          <t>Domino - U-Profile - 80x50x3 - L4920 - 4Ø13 - Powder Coated</t>
        </is>
      </c>
      <c r="C26" s="31">
        <f>_xlfn.XLOOKUP(A26,List!$C$2:$C$89,List!$E$2:$E$89,"",0)</f>
        <v/>
      </c>
      <c r="D26" s="16" t="n">
        <v>4</v>
      </c>
      <c r="K26" s="2" t="n">
        <v>4</v>
      </c>
      <c r="L26" s="2" t="n">
        <v>8</v>
      </c>
      <c r="N26" s="2" t="n">
        <v>8</v>
      </c>
      <c r="AG26" s="17" t="n"/>
    </row>
    <row r="27">
      <c r="A27" s="88" t="inlineStr">
        <is>
          <t>37.60.06.0019</t>
        </is>
      </c>
      <c r="B27" s="89" t="inlineStr">
        <is>
          <t>Domino - U-Profile - 80x50x3 - L5950 - 4Ø13 - Galvanized</t>
        </is>
      </c>
      <c r="C27" s="31">
        <f>_xlfn.XLOOKUP(A27,List!$C$2:$C$89,List!$E$2:$E$89,"",0)</f>
        <v/>
      </c>
      <c r="D27" s="16" t="n">
        <v>4</v>
      </c>
      <c r="K27" s="2" t="n">
        <v>4</v>
      </c>
      <c r="L27" s="2" t="n">
        <v>8</v>
      </c>
      <c r="AG27" s="17" t="n"/>
    </row>
    <row r="28">
      <c r="A28" s="88" t="inlineStr">
        <is>
          <t>43.17.06.0003</t>
        </is>
      </c>
      <c r="B28" s="89" t="inlineStr">
        <is>
          <t>Domino - U-Profile - 80x50x3 - L5950 - 4Ø13 - Powder Coated</t>
        </is>
      </c>
      <c r="C28" s="31">
        <f>_xlfn.XLOOKUP(A28,List!$C$2:$C$89,List!$E$2:$E$89,"",0)</f>
        <v/>
      </c>
      <c r="D28" s="16" t="n">
        <v>4</v>
      </c>
      <c r="K28" s="2" t="n">
        <v>4</v>
      </c>
      <c r="L28" s="2" t="n">
        <v>8</v>
      </c>
      <c r="N28" s="2" t="n">
        <v>8</v>
      </c>
      <c r="AG28" s="17" t="n"/>
    </row>
    <row r="29">
      <c r="A29" s="88" t="inlineStr">
        <is>
          <t>43.07.18.0001</t>
        </is>
      </c>
      <c r="B29" s="89" t="inlineStr">
        <is>
          <t>Domino - Wall Connector - Galvanized</t>
        </is>
      </c>
      <c r="C29" s="31">
        <f>_xlfn.XLOOKUP(A29,List!$C$2:$C$89,List!$E$2:$E$89,"",0)</f>
        <v/>
      </c>
      <c r="D29" s="16" t="n"/>
      <c r="M29" s="2" t="n">
        <v>2</v>
      </c>
      <c r="AG29" s="17" t="n"/>
    </row>
    <row r="30">
      <c r="A30" s="88" t="inlineStr">
        <is>
          <t>43.07.18.0004</t>
        </is>
      </c>
      <c r="B30" s="89" t="inlineStr">
        <is>
          <t>Domino - Wall Connector - Powder Coated</t>
        </is>
      </c>
      <c r="C30" s="31">
        <f>_xlfn.XLOOKUP(A30,List!$C$2:$C$89,List!$E$2:$E$89,"",0)</f>
        <v/>
      </c>
      <c r="D30" s="16" t="n"/>
      <c r="M30" s="2" t="n">
        <v>2</v>
      </c>
      <c r="N30" s="2" t="n">
        <v>2</v>
      </c>
      <c r="AG30" s="17" t="n"/>
    </row>
    <row r="31">
      <c r="A31" s="79" t="inlineStr">
        <is>
          <t>43.32.03.0048</t>
        </is>
      </c>
      <c r="B31" s="79" t="inlineStr">
        <is>
          <t xml:space="preserve">Domino - Hinge Bracket - Galvanized  </t>
        </is>
      </c>
      <c r="C31" s="31">
        <f>_xlfn.XLOOKUP(A31,List!$C$2:$C$89,List!$E$2:$E$89,"",0)</f>
        <v/>
      </c>
      <c r="D31" s="16" t="n"/>
      <c r="M31" s="2" t="n">
        <v>2</v>
      </c>
      <c r="AG31" s="17" t="n"/>
    </row>
    <row r="32">
      <c r="A32" s="79" t="inlineStr">
        <is>
          <t>43.32.03.0049</t>
        </is>
      </c>
      <c r="B32" s="79" t="inlineStr">
        <is>
          <t xml:space="preserve">Domino - Hinge Bracket - Powder coated </t>
        </is>
      </c>
      <c r="C32" s="31">
        <f>_xlfn.XLOOKUP(A32,List!$C$2:$C$89,List!$E$2:$E$89,"",0)</f>
        <v/>
      </c>
      <c r="D32" s="16" t="n"/>
      <c r="M32" s="2" t="n">
        <v>2</v>
      </c>
      <c r="N32" s="2" t="n">
        <v>2</v>
      </c>
      <c r="AG32" s="17" t="n"/>
    </row>
    <row r="33">
      <c r="A33" s="79" t="inlineStr">
        <is>
          <t>43.32.03.0050</t>
        </is>
      </c>
      <c r="B33" s="79" t="inlineStr">
        <is>
          <t xml:space="preserve">Domino - Hinge L-Profile - Galvanized </t>
        </is>
      </c>
      <c r="C33" s="31">
        <f>_xlfn.XLOOKUP(A33,List!$C$2:$C$89,List!$E$2:$E$89,"",0)</f>
        <v/>
      </c>
      <c r="D33" s="16" t="n"/>
      <c r="E33" s="2">
        <f>IF(Calc!$D$37=1,2,0)</f>
        <v/>
      </c>
      <c r="F33" s="2">
        <f>IF(Calc!$D$37&lt;&gt;1,2,0)</f>
        <v/>
      </c>
      <c r="K33" s="2" t="n">
        <v>2</v>
      </c>
      <c r="L33" s="2" t="n">
        <v>4</v>
      </c>
      <c r="AG33" s="17" t="n"/>
    </row>
    <row r="34">
      <c r="A34" s="79" t="inlineStr">
        <is>
          <t>43.32.03.0051</t>
        </is>
      </c>
      <c r="B34" s="79" t="inlineStr">
        <is>
          <t>Domino - Hinge L-Profile - Powder coated</t>
        </is>
      </c>
      <c r="C34" s="31">
        <f>_xlfn.XLOOKUP(A34,List!$C$2:$C$89,List!$E$2:$E$89,"",0)</f>
        <v/>
      </c>
      <c r="D34" s="16" t="n"/>
      <c r="E34" s="2">
        <f>IF(Calc!$D$37=1,2,0)</f>
        <v/>
      </c>
      <c r="F34" s="2">
        <f>IF(Calc!$D$37&lt;&gt;1,2,0)</f>
        <v/>
      </c>
      <c r="K34" s="2" t="n">
        <v>2</v>
      </c>
      <c r="L34" s="2" t="n">
        <v>4</v>
      </c>
      <c r="N34" s="2" t="n">
        <v>4</v>
      </c>
      <c r="AG34" s="17" t="n"/>
    </row>
    <row r="35">
      <c r="A35" s="79" t="inlineStr">
        <is>
          <t>44.02.06.0029</t>
        </is>
      </c>
      <c r="B35" s="79" t="inlineStr">
        <is>
          <t xml:space="preserve">Domino - Girder - 50x2 - L293mm - 2Ø13 - 2M10 - Galvanized </t>
        </is>
      </c>
      <c r="C35" s="31">
        <f>_xlfn.XLOOKUP(A35,List!$C$2:$C$89,List!$E$2:$E$89,"",0)</f>
        <v/>
      </c>
      <c r="D35" s="16" t="n">
        <v>2</v>
      </c>
      <c r="L35" s="2" t="n">
        <v>2</v>
      </c>
      <c r="AG35" s="17" t="n"/>
    </row>
    <row r="36">
      <c r="A36" s="79" t="inlineStr">
        <is>
          <t>44.02.06.0030</t>
        </is>
      </c>
      <c r="B36" s="79" t="inlineStr">
        <is>
          <t xml:space="preserve">Domino - Girder - 50x2 - L543mm - 2Ø13 - 2M10 - Galvanized </t>
        </is>
      </c>
      <c r="C36" s="31">
        <f>_xlfn.XLOOKUP(A36,List!$C$2:$C$89,List!$E$2:$E$89,"",0)</f>
        <v/>
      </c>
      <c r="D36" s="16" t="n">
        <v>2</v>
      </c>
      <c r="L36" s="2" t="n">
        <v>2</v>
      </c>
      <c r="AG36" s="17" t="n"/>
    </row>
    <row r="37">
      <c r="A37" s="79" t="inlineStr">
        <is>
          <t>44.02.06.0031</t>
        </is>
      </c>
      <c r="B37" s="79" t="inlineStr">
        <is>
          <t>Domino - Girder - 50x2 - L293mm - 2Ø13 - 2M10 - Powder coated</t>
        </is>
      </c>
      <c r="C37" s="31">
        <f>_xlfn.XLOOKUP(A37,List!$C$2:$C$89,List!$E$2:$E$89,"",0)</f>
        <v/>
      </c>
      <c r="D37" s="16" t="n">
        <v>2</v>
      </c>
      <c r="L37" s="2" t="n">
        <v>2</v>
      </c>
      <c r="N37" s="2" t="n">
        <v>2</v>
      </c>
      <c r="AG37" s="17" t="n"/>
    </row>
    <row r="38">
      <c r="A38" s="79" t="inlineStr">
        <is>
          <t>44.02.06.0032</t>
        </is>
      </c>
      <c r="B38" s="79" t="inlineStr">
        <is>
          <t xml:space="preserve">Domino - Girder - 50x2 - L543mm - 2Ø13 - 2M10 - Powder coated </t>
        </is>
      </c>
      <c r="C38" s="31">
        <f>_xlfn.XLOOKUP(A38,List!$C$2:$C$89,List!$E$2:$E$89,"",0)</f>
        <v/>
      </c>
      <c r="D38" s="16" t="n">
        <v>2</v>
      </c>
      <c r="L38" s="2" t="n">
        <v>2</v>
      </c>
      <c r="N38" s="2" t="n">
        <v>2</v>
      </c>
      <c r="AG38" s="17" t="n"/>
    </row>
    <row r="39">
      <c r="A39" s="16" t="inlineStr">
        <is>
          <t>44.02.06.0005</t>
        </is>
      </c>
      <c r="B39" s="28" t="inlineStr">
        <is>
          <t>Domino - Girder - 50x2 - L1948 - 6Ø13 - 6M10 - Galvanized</t>
        </is>
      </c>
      <c r="C39" s="31">
        <f>_xlfn.XLOOKUP(A39,List!$C$2:$C$89,List!$E$2:$E$89,"",0)</f>
        <v/>
      </c>
      <c r="D39" s="16" t="n">
        <v>2</v>
      </c>
      <c r="L39" s="2" t="n">
        <v>2</v>
      </c>
      <c r="O39" s="2" t="n">
        <v>4</v>
      </c>
      <c r="AG39" s="17" t="n"/>
    </row>
    <row r="40">
      <c r="A40" s="16" t="inlineStr">
        <is>
          <t>44.02.06.0009</t>
        </is>
      </c>
      <c r="B40" s="28" t="inlineStr">
        <is>
          <t>Domino - Girder - 50x2 - L1948 - 6Ø13 - 6M10 - Powder Coated</t>
        </is>
      </c>
      <c r="C40" s="31">
        <f>_xlfn.XLOOKUP(A40,List!$C$2:$C$89,List!$E$2:$E$89,"",0)</f>
        <v/>
      </c>
      <c r="D40" s="16" t="n">
        <v>2</v>
      </c>
      <c r="L40" s="2" t="n">
        <v>2</v>
      </c>
      <c r="N40" s="2" t="n">
        <v>2</v>
      </c>
      <c r="O40" s="2" t="n">
        <v>4</v>
      </c>
      <c r="AG40" s="17" t="n"/>
    </row>
    <row r="41">
      <c r="A41" s="16" t="inlineStr">
        <is>
          <t>44.02.06.0006</t>
        </is>
      </c>
      <c r="B41" s="28" t="inlineStr">
        <is>
          <t>Domino - Girder - 50x2 - L2448 - 6Ø13 - 6M10 - Galvanized</t>
        </is>
      </c>
      <c r="C41" s="31">
        <f>_xlfn.XLOOKUP(A41,List!$C$2:$C$89,List!$E$2:$E$89,"",0)</f>
        <v/>
      </c>
      <c r="D41" s="16" t="n">
        <v>2</v>
      </c>
      <c r="L41" s="2" t="n">
        <v>2</v>
      </c>
      <c r="O41" s="2" t="n">
        <v>4</v>
      </c>
      <c r="AG41" s="17" t="n"/>
    </row>
    <row r="42">
      <c r="A42" s="16" t="inlineStr">
        <is>
          <t>44.02.06.0010</t>
        </is>
      </c>
      <c r="B42" s="28" t="inlineStr">
        <is>
          <t>Domino - Girder - 50x2 - L2448 - 6Ø13 - 6M10 - Powder Coated</t>
        </is>
      </c>
      <c r="C42" s="31">
        <f>_xlfn.XLOOKUP(A42,List!$C$2:$C$89,List!$E$2:$E$89,"",0)</f>
        <v/>
      </c>
      <c r="D42" s="16" t="n">
        <v>2</v>
      </c>
      <c r="L42" s="2" t="n">
        <v>2</v>
      </c>
      <c r="N42" s="2" t="n">
        <v>2</v>
      </c>
      <c r="O42" s="2" t="n">
        <v>4</v>
      </c>
      <c r="AG42" s="17" t="n"/>
    </row>
    <row r="43">
      <c r="A43" s="16" t="inlineStr">
        <is>
          <t>43.13.07.0004</t>
        </is>
      </c>
      <c r="B43" s="28" t="inlineStr">
        <is>
          <t>Domino - Beam - 120x60x3 - L2098 - 2Ø13 - Galvanized</t>
        </is>
      </c>
      <c r="C43" s="31">
        <f>_xlfn.XLOOKUP(A43,List!$C$2:$C$89,List!$E$2:$E$89,"",0)</f>
        <v/>
      </c>
      <c r="D43" s="16" t="n"/>
      <c r="I43" s="2" t="n">
        <v>2</v>
      </c>
      <c r="K43" s="2" t="n">
        <v>2</v>
      </c>
      <c r="L43" s="2" t="n">
        <v>4</v>
      </c>
      <c r="AG43" s="17" t="n"/>
    </row>
    <row r="44">
      <c r="A44" s="16" t="inlineStr">
        <is>
          <t>43.13.07.0008</t>
        </is>
      </c>
      <c r="B44" s="28" t="inlineStr">
        <is>
          <t>Domino - Beam - 120x60x3 - L2098 - 2Ø13 - Powder Coated</t>
        </is>
      </c>
      <c r="C44" s="31">
        <f>_xlfn.XLOOKUP(A44,List!$C$2:$C$89,List!$E$2:$E$89,"",0)</f>
        <v/>
      </c>
      <c r="D44" s="16" t="n"/>
      <c r="I44" s="2" t="n">
        <v>2</v>
      </c>
      <c r="K44" s="2" t="n">
        <v>2</v>
      </c>
      <c r="L44" s="2" t="n">
        <v>4</v>
      </c>
      <c r="N44" s="2" t="n">
        <v>4</v>
      </c>
      <c r="AG44" s="17" t="n"/>
    </row>
    <row r="45">
      <c r="A45" s="16" t="inlineStr">
        <is>
          <t>43.13.07.0015</t>
        </is>
      </c>
      <c r="B45" s="28" t="inlineStr">
        <is>
          <t>Domino - Beam - 120x60x3 - L2598 - 2Ø13 - Galvanized</t>
        </is>
      </c>
      <c r="C45" s="31">
        <f>_xlfn.XLOOKUP(A45,List!$C$2:$C$89,List!$E$2:$E$89,"",0)</f>
        <v/>
      </c>
      <c r="D45" s="16" t="n"/>
      <c r="I45" s="2" t="n">
        <v>2</v>
      </c>
      <c r="K45" s="2" t="n">
        <v>2</v>
      </c>
      <c r="L45" s="2" t="n">
        <v>4</v>
      </c>
      <c r="AG45" s="17" t="n"/>
    </row>
    <row r="46">
      <c r="A46" s="16" t="inlineStr">
        <is>
          <t>43.13.07.0016</t>
        </is>
      </c>
      <c r="B46" s="28" t="inlineStr">
        <is>
          <t>Domino - Beam - 120x60x3 - L2598 - 2Ø13 - Powder Coated</t>
        </is>
      </c>
      <c r="C46" s="31">
        <f>_xlfn.XLOOKUP(A46,List!$C$2:$C$89,List!$E$2:$E$89,"",0)</f>
        <v/>
      </c>
      <c r="D46" s="16" t="n"/>
      <c r="I46" s="2" t="n">
        <v>2</v>
      </c>
      <c r="K46" s="2" t="n">
        <v>2</v>
      </c>
      <c r="L46" s="2" t="n">
        <v>4</v>
      </c>
      <c r="N46" s="2" t="n">
        <v>4</v>
      </c>
      <c r="AG46" s="17" t="n"/>
    </row>
    <row r="47">
      <c r="A47" s="16" t="inlineStr">
        <is>
          <t>43.09.06.0015</t>
        </is>
      </c>
      <c r="B47" s="28" t="inlineStr">
        <is>
          <t>Domino - Beam Connector - Bracket - Galvanized</t>
        </is>
      </c>
      <c r="C47" s="31">
        <f>_xlfn.XLOOKUP(A47,List!$C$2:$C$89,List!$E$2:$E$89,"",0)</f>
        <v/>
      </c>
      <c r="D47" s="16" t="n">
        <v>2</v>
      </c>
      <c r="G47" s="2" t="n">
        <v>1</v>
      </c>
      <c r="K47" s="2" t="n">
        <v>3</v>
      </c>
      <c r="L47" s="2" t="n">
        <v>6</v>
      </c>
      <c r="AG47" s="17" t="n"/>
    </row>
    <row r="48">
      <c r="A48" s="16" t="inlineStr">
        <is>
          <t>43.09.06.0016</t>
        </is>
      </c>
      <c r="B48" s="28" t="inlineStr">
        <is>
          <t>Domino - Beam Connector - Bracket - Powder Coated</t>
        </is>
      </c>
      <c r="C48" s="31">
        <f>_xlfn.XLOOKUP(A48,List!$C$2:$C$89,List!$E$2:$E$89,"",0)</f>
        <v/>
      </c>
      <c r="D48" s="16" t="n">
        <v>2</v>
      </c>
      <c r="G48" s="2" t="n">
        <v>1</v>
      </c>
      <c r="K48" s="2" t="n">
        <v>3</v>
      </c>
      <c r="L48" s="2" t="n">
        <v>6</v>
      </c>
      <c r="N48" s="2" t="n">
        <v>6</v>
      </c>
      <c r="AG48" s="17" t="n"/>
    </row>
    <row r="49">
      <c r="A49" s="16" t="inlineStr">
        <is>
          <t>43.09.06.0011</t>
        </is>
      </c>
      <c r="B49" s="28" t="inlineStr">
        <is>
          <t>Domino - Beam Connector - L-Profile - Galvanized</t>
        </is>
      </c>
      <c r="C49" s="31">
        <f>_xlfn.XLOOKUP(A49,List!$C$2:$C$89,List!$E$2:$E$89,"",0)</f>
        <v/>
      </c>
      <c r="D49" s="16" t="n"/>
      <c r="F49" s="2" t="n">
        <v>4</v>
      </c>
      <c r="J49" s="2" t="n">
        <v>1</v>
      </c>
      <c r="K49" s="2" t="n">
        <v>5</v>
      </c>
      <c r="L49" s="2" t="n">
        <v>10</v>
      </c>
      <c r="AG49" s="17" t="n"/>
    </row>
    <row r="50">
      <c r="A50" s="16" t="inlineStr">
        <is>
          <t>43.09.06.0013</t>
        </is>
      </c>
      <c r="B50" s="28" t="inlineStr">
        <is>
          <t>Domino - Beam Connector - L-Profile - Powder Coated</t>
        </is>
      </c>
      <c r="C50" s="31">
        <f>_xlfn.XLOOKUP(A50,List!$C$2:$C$89,List!$E$2:$E$89,"",0)</f>
        <v/>
      </c>
      <c r="D50" s="16" t="n"/>
      <c r="F50" s="2" t="n">
        <v>4</v>
      </c>
      <c r="J50" s="2" t="n">
        <v>1</v>
      </c>
      <c r="K50" s="2" t="n">
        <v>5</v>
      </c>
      <c r="L50" s="2" t="n">
        <v>10</v>
      </c>
      <c r="N50" s="2" t="n">
        <v>10</v>
      </c>
      <c r="AG50" s="17" t="n"/>
    </row>
    <row r="51">
      <c r="A51" s="16" t="inlineStr">
        <is>
          <t>43.09.06.0017</t>
        </is>
      </c>
      <c r="B51" s="28" t="inlineStr">
        <is>
          <t>Domino - Brace Connector - Galvanized</t>
        </is>
      </c>
      <c r="C51" s="31">
        <f>_xlfn.XLOOKUP(A51,List!$C$2:$C$89,List!$E$2:$E$89,"",0)</f>
        <v/>
      </c>
      <c r="D51" s="16" t="n">
        <v>1</v>
      </c>
      <c r="K51" s="2" t="n">
        <v>1</v>
      </c>
      <c r="L51" s="2" t="n">
        <v>2</v>
      </c>
      <c r="M51" s="2" t="n">
        <v>2</v>
      </c>
      <c r="AG51" s="17" t="n"/>
    </row>
    <row r="52">
      <c r="A52" s="16" t="inlineStr">
        <is>
          <t>43.09.06.0018</t>
        </is>
      </c>
      <c r="B52" s="28" t="inlineStr">
        <is>
          <t>Domino - Brace Connector - Powder Coated</t>
        </is>
      </c>
      <c r="C52" s="31">
        <f>_xlfn.XLOOKUP(A52,List!$C$2:$C$89,List!$E$2:$E$89,"",0)</f>
        <v/>
      </c>
      <c r="D52" s="16" t="n">
        <v>1</v>
      </c>
      <c r="K52" s="2" t="n">
        <v>1</v>
      </c>
      <c r="L52" s="2" t="n">
        <v>2</v>
      </c>
      <c r="M52" s="2" t="n">
        <v>2</v>
      </c>
      <c r="N52" s="2" t="n">
        <v>4</v>
      </c>
      <c r="AG52" s="17" t="n"/>
    </row>
    <row r="53">
      <c r="A53" s="79" t="inlineStr">
        <is>
          <t>01.06.11.0011</t>
        </is>
      </c>
      <c r="B53" s="79" t="inlineStr">
        <is>
          <t>Steel Roof Sheet - RAL7016 - L=2020mm</t>
        </is>
      </c>
      <c r="C53" s="31">
        <f>_xlfn.XLOOKUP(A53,List!$C$2:$C$89,List!$E$2:$E$89,"",0)</f>
        <v/>
      </c>
      <c r="D53" s="16" t="n"/>
      <c r="P53" s="2" t="n">
        <v>18</v>
      </c>
      <c r="AG53" s="17" t="n"/>
    </row>
    <row r="54">
      <c r="A54" s="79" t="inlineStr">
        <is>
          <t>01.06.11.0012</t>
        </is>
      </c>
      <c r="B54" s="79" t="inlineStr">
        <is>
          <t>Steel Roof Sheet - RAL7016 - L=2520mm</t>
        </is>
      </c>
      <c r="C54" s="31">
        <f>_xlfn.XLOOKUP(A54,List!$C$2:$C$89,List!$E$2:$E$89,"",0)</f>
        <v/>
      </c>
      <c r="D54" s="16" t="n"/>
      <c r="P54" s="2" t="n">
        <v>18</v>
      </c>
      <c r="AG54" s="17" t="n"/>
    </row>
    <row r="55">
      <c r="A55" s="16" t="inlineStr">
        <is>
          <t>07.01.05.0013</t>
        </is>
      </c>
      <c r="B55" s="28" t="inlineStr">
        <is>
          <t>Polycarbonate Roof Sheet - Trapez 250/35 - Clear - T=1,00mm - L=2020mm</t>
        </is>
      </c>
      <c r="C55" s="31">
        <f>_xlfn.XLOOKUP(A55,List!$C$2:$C$89,List!$E$2:$E$89,"",0)</f>
        <v/>
      </c>
      <c r="D55" s="16" t="n"/>
      <c r="P55" s="2" t="n">
        <v>18</v>
      </c>
      <c r="AG55" s="17" t="n"/>
    </row>
    <row r="56">
      <c r="A56" s="16" t="inlineStr">
        <is>
          <t>07.01.05.0014</t>
        </is>
      </c>
      <c r="B56" s="28" t="inlineStr">
        <is>
          <t>Polycarbonate Roof Sheet - Trapez 250/35 - Clear - T=1,00mm - L=2520mm</t>
        </is>
      </c>
      <c r="C56" s="31">
        <f>_xlfn.XLOOKUP(A56,List!$C$2:$C$89,List!$E$2:$E$89,"",0)</f>
        <v/>
      </c>
      <c r="D56" s="16" t="n"/>
      <c r="P56" s="2" t="n">
        <v>18</v>
      </c>
      <c r="AG56" s="17" t="n"/>
    </row>
    <row r="57">
      <c r="A57" s="2" t="inlineStr">
        <is>
          <t>09.01.06.0012</t>
        </is>
      </c>
      <c r="B57" s="28" t="inlineStr">
        <is>
          <t>Thermowood - 90x20x2150mm - 4-sided planed - rounded edges</t>
        </is>
      </c>
      <c r="C57" s="31">
        <f>_xlfn.XLOOKUP(A57,List!$C$2:$C$89,List!$E$2:$E$89,"",0)</f>
        <v/>
      </c>
      <c r="D57" s="16" t="n"/>
      <c r="Q57" s="2" t="n">
        <v>6</v>
      </c>
      <c r="AG57" s="17" t="n"/>
    </row>
    <row r="58">
      <c r="A58" s="2" t="inlineStr">
        <is>
          <t>09.01.06.0013</t>
        </is>
      </c>
      <c r="B58" s="28" t="inlineStr">
        <is>
          <t>Thermowood - 90x20x2800mm - 4-sided planed - rounded edges</t>
        </is>
      </c>
      <c r="C58" s="31">
        <f>_xlfn.XLOOKUP(A58,List!$C$2:$C$89,List!$E$2:$E$89,"",0)</f>
        <v/>
      </c>
      <c r="D58" s="16" t="n"/>
      <c r="Q58" s="2" t="n">
        <v>8</v>
      </c>
      <c r="AG58" s="17" t="n"/>
    </row>
    <row r="59">
      <c r="A59" s="79" t="inlineStr">
        <is>
          <t>09.01.06.0016</t>
        </is>
      </c>
      <c r="B59" s="80" t="inlineStr">
        <is>
          <t>Thermowood - 44x20x2150mm - 4-sided planed - rounded edges</t>
        </is>
      </c>
      <c r="C59" s="31">
        <f>_xlfn.XLOOKUP(A59,List!$C$2:$C$89,List!$E$2:$E$89,"",0)</f>
        <v/>
      </c>
      <c r="D59" s="16" t="n"/>
      <c r="Q59" s="2" t="n">
        <v>3</v>
      </c>
      <c r="AG59" s="17" t="n"/>
    </row>
    <row r="60">
      <c r="A60" s="79" t="inlineStr">
        <is>
          <t>09.01.06.0017</t>
        </is>
      </c>
      <c r="B60" s="80" t="inlineStr">
        <is>
          <t>Thermowood - 44x20x2800mm - 4-sided planed - rounded edges</t>
        </is>
      </c>
      <c r="C60" s="31">
        <f>_xlfn.XLOOKUP(A60,List!$C$2:$C$89,List!$E$2:$E$89,"",0)</f>
        <v/>
      </c>
      <c r="D60" s="16" t="n"/>
      <c r="Q60" s="2" t="n">
        <v>4</v>
      </c>
      <c r="AG60" s="17" t="n"/>
    </row>
    <row r="61">
      <c r="A61" s="79" t="inlineStr">
        <is>
          <t>08.02.04.0007</t>
        </is>
      </c>
      <c r="B61" s="80" t="inlineStr">
        <is>
          <t>Glass Panel - Tempered - Clear - T=8mm - W950H2150</t>
        </is>
      </c>
      <c r="C61" s="31">
        <f>_xlfn.XLOOKUP(A61,List!$C$2:$C$89,List!$E$2:$E$89,"",0)</f>
        <v/>
      </c>
      <c r="D61" s="16" t="n"/>
      <c r="T61" s="2" t="n">
        <v>8</v>
      </c>
      <c r="AG61" s="17" t="n"/>
    </row>
    <row r="62">
      <c r="A62" s="79" t="inlineStr">
        <is>
          <t>08.02.04.0008</t>
        </is>
      </c>
      <c r="B62" s="80" t="inlineStr">
        <is>
          <t>Glass Panel - Tempered - Clear - T=8mm - W1195H2150</t>
        </is>
      </c>
      <c r="C62" s="31">
        <f>_xlfn.XLOOKUP(A62,List!$C$2:$C$89,List!$E$2:$E$89,"",0)</f>
        <v/>
      </c>
      <c r="D62" s="16" t="n"/>
      <c r="T62" s="2" t="n">
        <v>8</v>
      </c>
      <c r="AG62" s="17" t="n"/>
    </row>
    <row r="63">
      <c r="A63" t="inlineStr">
        <is>
          <t>30.05.04.0039</t>
        </is>
      </c>
      <c r="B63" s="28" t="inlineStr">
        <is>
          <t>LED Fixture - 33W/3960lm/IP66 - L=1285mm - Ledvance 4058075740914</t>
        </is>
      </c>
      <c r="C63" s="31">
        <f>_xlfn.XLOOKUP(A63,List!$C$2:$C$89,List!$E$2:$E$89,"",0)</f>
        <v/>
      </c>
      <c r="D63" s="16" t="n"/>
      <c r="AC63" s="2" t="n">
        <v>1</v>
      </c>
      <c r="AE63" s="2" t="n">
        <v>8</v>
      </c>
      <c r="AF63" s="2" t="n">
        <v>8</v>
      </c>
      <c r="AG63" s="17" t="n">
        <v>12</v>
      </c>
    </row>
    <row r="64">
      <c r="A64" t="inlineStr">
        <is>
          <t>30.04.01.0001</t>
        </is>
      </c>
      <c r="B64" s="28" t="inlineStr">
        <is>
          <t>PVC Conduit 20mm - Class 3231 - RAL7035 - L=3000mm - Pipelife 1196040600</t>
        </is>
      </c>
      <c r="C64" s="31">
        <f>_xlfn.XLOOKUP(A64,List!$C$2:$C$89,List!$E$2:$E$89,"",0)</f>
        <v/>
      </c>
      <c r="D64" s="16" t="n"/>
      <c r="AD64" s="2" t="n">
        <v>1</v>
      </c>
      <c r="AE64" s="2" t="n">
        <v>0.5</v>
      </c>
      <c r="AF64" s="2" t="n">
        <v>3</v>
      </c>
      <c r="AG64" s="17" t="n">
        <v>3</v>
      </c>
    </row>
    <row r="65">
      <c r="A65" t="inlineStr">
        <is>
          <t>03.02.02.0092</t>
        </is>
      </c>
      <c r="B65" s="28" t="inlineStr">
        <is>
          <t>Alu L-profile - 80x40x3</t>
        </is>
      </c>
      <c r="C65" s="31">
        <f>_xlfn.XLOOKUP(A65,List!$C$2:$C$89,List!$E$2:$E$89,"",0)</f>
        <v/>
      </c>
      <c r="D65" s="16" t="n"/>
      <c r="P65" s="2" t="n">
        <v>3</v>
      </c>
      <c r="AG65" s="17" t="n"/>
    </row>
    <row r="66">
      <c r="A66" t="inlineStr">
        <is>
          <t>03.02.02.0110</t>
        </is>
      </c>
      <c r="B66" s="28" t="inlineStr">
        <is>
          <t>Alu L-profile - 80x40x3 - Powder Coated</t>
        </is>
      </c>
      <c r="C66" s="86">
        <f>_xlfn.XLOOKUP(A66,List!$C$2:$C$89,List!$E$2:$E$89,"",0)</f>
        <v/>
      </c>
      <c r="D66" s="16" t="n"/>
      <c r="P66" s="2" t="n">
        <v>3</v>
      </c>
      <c r="AG66" s="17" t="n"/>
    </row>
    <row r="67">
      <c r="A67" s="16" t="n"/>
      <c r="B67" s="1" t="inlineStr">
        <is>
          <t>Clamps Double</t>
        </is>
      </c>
      <c r="C67" s="86">
        <f>Calc!D58</f>
        <v/>
      </c>
      <c r="D67" s="16" t="n"/>
      <c r="AA67" s="2" t="n">
        <v>1</v>
      </c>
      <c r="AG67" s="17" t="n"/>
    </row>
    <row r="68">
      <c r="A68" s="16" t="n"/>
      <c r="B68" s="1" t="inlineStr">
        <is>
          <t>Clamps Single</t>
        </is>
      </c>
      <c r="C68" s="86">
        <f>Calc!D59</f>
        <v/>
      </c>
      <c r="D68" s="16" t="n"/>
      <c r="AB68" s="2" t="n">
        <v>1</v>
      </c>
      <c r="AG68" s="17" t="n"/>
    </row>
    <row r="69">
      <c r="A69" s="16" t="n"/>
      <c r="B69" s="1" t="inlineStr">
        <is>
          <t>Screws with wings</t>
        </is>
      </c>
      <c r="C69" s="86">
        <f>Calc!D60</f>
        <v/>
      </c>
      <c r="D69" s="16" t="n"/>
      <c r="R69" s="2" t="n">
        <v>1</v>
      </c>
      <c r="AG69" s="17" t="n"/>
    </row>
    <row r="70">
      <c r="A70" s="16" t="n"/>
      <c r="B70" s="28" t="inlineStr">
        <is>
          <t>Alu L-profile R5T8 - attached on gutter - in meters</t>
        </is>
      </c>
      <c r="C70" s="86">
        <f>ROUNDUP(Calc!D10*2+0.5,0)</f>
        <v/>
      </c>
      <c r="D70" s="16" t="n"/>
      <c r="P70" s="2" t="n">
        <v>3</v>
      </c>
      <c r="AG70" s="17" t="n"/>
    </row>
    <row r="71">
      <c r="A71" s="18" t="n"/>
      <c r="B71" s="29" t="inlineStr">
        <is>
          <t>Alu L-profile R5T8 - attached on roof sheet - in meters</t>
        </is>
      </c>
      <c r="C71" s="87">
        <f>ROUNDUP((Calc!D26-1)*Calc!D10,0)</f>
        <v/>
      </c>
      <c r="D71" s="18" t="n"/>
      <c r="E71" s="19" t="n"/>
      <c r="F71" s="19" t="n"/>
      <c r="G71" s="19" t="n"/>
      <c r="H71" s="19" t="n"/>
      <c r="I71" s="19" t="n"/>
      <c r="J71" s="19" t="n"/>
      <c r="K71" s="19" t="n"/>
      <c r="L71" s="19" t="n"/>
      <c r="M71" s="19" t="n"/>
      <c r="N71" s="19" t="n"/>
      <c r="O71" s="19" t="n"/>
      <c r="P71" s="19" t="n"/>
      <c r="Q71" s="19" t="n"/>
      <c r="R71" s="19" t="n"/>
      <c r="S71" s="19" t="n">
        <v>6</v>
      </c>
      <c r="T71" s="19" t="n"/>
      <c r="U71" s="19" t="n"/>
      <c r="V71" s="19" t="n"/>
      <c r="W71" s="19" t="n"/>
      <c r="X71" s="19" t="n"/>
      <c r="Y71" s="19" t="n"/>
      <c r="Z71" s="19" t="n"/>
      <c r="AA71" s="19" t="n"/>
      <c r="AB71" s="19" t="n"/>
      <c r="AC71" s="19" t="n"/>
      <c r="AD71" s="19" t="n"/>
      <c r="AE71" s="19" t="n"/>
      <c r="AF71" s="19" t="n"/>
      <c r="AG71" s="20" t="n"/>
    </row>
    <row r="72">
      <c r="C72" s="22" t="inlineStr">
        <is>
          <t>Amount</t>
        </is>
      </c>
      <c r="D72" s="2">
        <f>SUMPRODUCT($C$3:$C$71,D3:D71)</f>
        <v/>
      </c>
      <c r="E72" s="2">
        <f>SUMPRODUCT($C$3:$C$71,E3:E71)</f>
        <v/>
      </c>
      <c r="F72" s="2">
        <f>SUMPRODUCT($C$3:$C$71,F3:F71)</f>
        <v/>
      </c>
      <c r="G72" s="2">
        <f>SUMPRODUCT($C$3:$C$71,G3:G71)</f>
        <v/>
      </c>
      <c r="H72" s="2">
        <f>SUMPRODUCT($C$3:$C$71,H3:H71)</f>
        <v/>
      </c>
      <c r="I72" s="2">
        <f>SUMPRODUCT($C$3:$C$71,I3:I71)</f>
        <v/>
      </c>
      <c r="J72" s="2">
        <f>SUMPRODUCT($C$3:$C$71,J3:J71)</f>
        <v/>
      </c>
      <c r="K72" s="2">
        <f>SUMPRODUCT($C$3:$C$71,K3:K71)</f>
        <v/>
      </c>
      <c r="L72" s="2">
        <f>SUMPRODUCT($C$3:$C$71,L3:L71)</f>
        <v/>
      </c>
      <c r="M72" s="2">
        <f>SUMPRODUCT($C$3:$C$71,M3:M71)</f>
        <v/>
      </c>
      <c r="N72" s="2">
        <f>SUMPRODUCT($C$3:$C$71,N3:N71)</f>
        <v/>
      </c>
      <c r="O72" s="2">
        <f>SUMPRODUCT($C$3:$C$71,O3:O71)</f>
        <v/>
      </c>
      <c r="P72" s="2">
        <f>SUMPRODUCT($C$3:$C$71,P3:P71)</f>
        <v/>
      </c>
      <c r="Q72" s="2">
        <f>SUMPRODUCT($C$3:$C$71,Q3:Q71)</f>
        <v/>
      </c>
      <c r="R72" s="2">
        <f>SUMPRODUCT($C$3:$C$71,R3:R71)</f>
        <v/>
      </c>
      <c r="S72" s="2">
        <f>SUMPRODUCT($C$3:$C$71,S3:S71)</f>
        <v/>
      </c>
      <c r="T72" s="2">
        <f>SUMPRODUCT($C$3:$C$71,T3:T71)</f>
        <v/>
      </c>
      <c r="U72" s="2">
        <f>SUMPRODUCT($C$3:$C$71,U3:U71)</f>
        <v/>
      </c>
      <c r="V72" s="2">
        <f>SUMPRODUCT($C$3:$C$71,V3:V71)</f>
        <v/>
      </c>
      <c r="W72" s="2">
        <f>SUMPRODUCT($C$3:$C$71,W3:W71)</f>
        <v/>
      </c>
      <c r="X72" s="2">
        <f>SUMPRODUCT($C$3:$C$71,X3:X71)</f>
        <v/>
      </c>
      <c r="Y72" s="2">
        <f>SUMPRODUCT($C$3:$C$71,Y3:Y71)</f>
        <v/>
      </c>
      <c r="Z72" s="2">
        <f>SUMPRODUCT($C$3:$C$71,Z3:Z71)</f>
        <v/>
      </c>
      <c r="AA72" s="2">
        <f>SUMPRODUCT($C$3:$C$71,AA3:AA71)</f>
        <v/>
      </c>
      <c r="AB72" s="2">
        <f>SUMPRODUCT($C$3:$C$71,AB3:AB71)</f>
        <v/>
      </c>
      <c r="AC72" s="2">
        <f>SUMPRODUCT($C$3:$C$71,AC3:AC71)</f>
        <v/>
      </c>
      <c r="AD72" s="2">
        <f>SUMPRODUCT($C$3:$C$71,AD3:AD71)</f>
        <v/>
      </c>
      <c r="AE72" s="2">
        <f>SUMPRODUCT($C$3:$C$71,AE3:AE71)</f>
        <v/>
      </c>
      <c r="AF72" s="2">
        <f>SUMPRODUCT($C$3:$C$71,AF3:AF71)</f>
        <v/>
      </c>
      <c r="AG72" s="2">
        <f>SUMPRODUCT($C$3:$C$71,AG3:AG71)</f>
        <v/>
      </c>
    </row>
    <row r="73">
      <c r="C73" s="22" t="inlineStr">
        <is>
          <t>10% extra</t>
        </is>
      </c>
      <c r="D73" s="2">
        <f>ROUNDUP(D72*1.1,0)</f>
        <v/>
      </c>
      <c r="E73" s="2">
        <f>ROUNDUP(E72*1.1,0)</f>
        <v/>
      </c>
      <c r="F73" s="2">
        <f>ROUNDUP(F72*1.1,0)</f>
        <v/>
      </c>
      <c r="G73" s="2">
        <f>ROUNDUP(G72*1.1,0)</f>
        <v/>
      </c>
      <c r="H73" s="2">
        <f>ROUNDUP(H72*1.1,0)</f>
        <v/>
      </c>
      <c r="I73" s="2">
        <f>ROUNDUP(I72*1.1,0)</f>
        <v/>
      </c>
      <c r="J73" s="2">
        <f>ROUNDUP(J72*1.1,0)</f>
        <v/>
      </c>
      <c r="K73" s="2">
        <f>ROUNDUP(K72*1.1,0)</f>
        <v/>
      </c>
      <c r="L73" s="2">
        <f>ROUNDUP(L72*1.1,0)</f>
        <v/>
      </c>
      <c r="M73" s="2">
        <f>ROUNDUP(M72*1.1,0)</f>
        <v/>
      </c>
      <c r="N73" s="2">
        <f>ROUNDUP(N72*1.1,0)</f>
        <v/>
      </c>
      <c r="O73" s="2">
        <f>ROUNDUP(O72*1.1,0)</f>
        <v/>
      </c>
      <c r="P73" s="2">
        <f>ROUNDUP(P72*1.1,0)</f>
        <v/>
      </c>
      <c r="Q73" s="2">
        <f>ROUNDUP(Q72*1.1,0)</f>
        <v/>
      </c>
      <c r="R73" s="2">
        <f>ROUNDUP(R72*1.1,0)</f>
        <v/>
      </c>
      <c r="S73" s="2">
        <f>ROUNDUP(S72*1.1,0)</f>
        <v/>
      </c>
      <c r="T73" s="2">
        <f>ROUNDUP(T72*1.1,0)</f>
        <v/>
      </c>
      <c r="U73" s="2">
        <f>ROUNDUP(U72*1.1,0)</f>
        <v/>
      </c>
      <c r="V73" s="2">
        <f>ROUNDUP(V72*1.1,0)</f>
        <v/>
      </c>
      <c r="W73" s="2">
        <f>ROUNDUP(W72*1.1,0)</f>
        <v/>
      </c>
      <c r="X73" s="2">
        <f>ROUNDUP(X72*1.1,0)</f>
        <v/>
      </c>
      <c r="Y73" s="2">
        <f>ROUNDUP(Y72*1.1,0)</f>
        <v/>
      </c>
      <c r="Z73" s="2">
        <f>ROUNDUP(Z72*1.1,0)</f>
        <v/>
      </c>
      <c r="AA73" s="2">
        <f>ROUNDUP(AA72*1.1,0)</f>
        <v/>
      </c>
      <c r="AB73" s="2">
        <f>ROUNDUP(AB72*1.1,0)</f>
        <v/>
      </c>
      <c r="AC73" s="2">
        <f>ROUNDUP(AC72*1.1,0)</f>
        <v/>
      </c>
      <c r="AD73" s="2">
        <f>ROUNDUP(AD72*1.1,0)</f>
        <v/>
      </c>
      <c r="AE73" s="2">
        <f>ROUNDUP(AE72*1.1,0)</f>
        <v/>
      </c>
      <c r="AF73" s="2">
        <f>ROUNDUP(AF72*1.1,0)</f>
        <v/>
      </c>
      <c r="AG73" s="2">
        <f>ROUNDUP(AG72*1.1,0)</f>
        <v/>
      </c>
    </row>
    <row r="75">
      <c r="B75" s="22" t="n"/>
    </row>
    <row r="77">
      <c r="A77" s="2" t="inlineStr">
        <is>
          <t>CODE</t>
        </is>
      </c>
      <c r="B77" s="2" t="inlineStr">
        <is>
          <t>DESCR</t>
        </is>
      </c>
      <c r="C77" s="2" t="inlineStr">
        <is>
          <t>QTY</t>
        </is>
      </c>
      <c r="D77" s="2" t="inlineStr">
        <is>
          <t>flag</t>
        </is>
      </c>
      <c r="E77" s="2" t="inlineStr">
        <is>
          <t>index</t>
        </is>
      </c>
      <c r="AC77" s="78" t="n"/>
    </row>
    <row r="78" ht="15.95" customHeight="1">
      <c r="A78" s="79" t="inlineStr">
        <is>
          <t>15.02.02.0124</t>
        </is>
      </c>
      <c r="B78" s="81" t="inlineStr">
        <is>
          <t>Hexagon head bolt - DIN933 - M10X30</t>
        </is>
      </c>
      <c r="C78" s="2">
        <f t="array" ref="C78:C107">_xlfn.XLOOKUP(A78:A107,D2:AG2,D73:AG73)</f>
        <v/>
      </c>
      <c r="D78" s="2">
        <f>IF(C78&gt;0,1,"")</f>
        <v/>
      </c>
      <c r="E78" s="2">
        <f>IF(D78=1,SUM($D$78:D78),"")</f>
        <v/>
      </c>
      <c r="AC78" s="78" t="n"/>
    </row>
    <row r="79" ht="15.95" customHeight="1">
      <c r="A79" s="83" t="inlineStr">
        <is>
          <t>15.02.02.0131</t>
        </is>
      </c>
      <c r="B79" s="81" t="inlineStr">
        <is>
          <t>Hexagon head bolt - DIN933 - M10X60</t>
        </is>
      </c>
      <c r="C79" s="2" t="n">
        <v>0</v>
      </c>
      <c r="D79" s="2">
        <f>IF(C79&gt;0,1,"")</f>
        <v/>
      </c>
      <c r="E79" s="2">
        <f>IF(D79=1,SUM($D$78:D79),"")</f>
        <v/>
      </c>
      <c r="AC79" s="78" t="n"/>
    </row>
    <row r="80">
      <c r="A80" s="79" t="inlineStr">
        <is>
          <t>15.02.02.0135</t>
        </is>
      </c>
      <c r="B80" s="82" t="inlineStr">
        <is>
          <t>Hexagon head bolt - DIN933 - M10X80</t>
        </is>
      </c>
      <c r="C80" s="2" t="n">
        <v>5</v>
      </c>
      <c r="D80" s="2">
        <f>IF(C80&gt;0,1,"")</f>
        <v/>
      </c>
      <c r="E80" s="2">
        <f>IF(D80=1,SUM($D$78:D80),"")</f>
        <v/>
      </c>
    </row>
    <row r="81">
      <c r="A81" s="79" t="inlineStr">
        <is>
          <t>15.02.02.0136</t>
        </is>
      </c>
      <c r="B81" s="82" t="inlineStr">
        <is>
          <t>Hexagon head bolt - DIN933 - M10X90</t>
        </is>
      </c>
      <c r="C81" s="2" t="n">
        <v>3</v>
      </c>
      <c r="D81" s="2">
        <f>IF(C81&gt;0,1,"")</f>
        <v/>
      </c>
      <c r="E81" s="2">
        <f>IF(D81=1,SUM($D$78:D81),"")</f>
        <v/>
      </c>
    </row>
    <row r="82">
      <c r="A82" s="79" t="inlineStr">
        <is>
          <t>15.02.02.0137</t>
        </is>
      </c>
      <c r="B82" s="82" t="inlineStr">
        <is>
          <t>Hexagon head bolt - DIN933 - M10X100</t>
        </is>
      </c>
      <c r="C82" s="2" t="n">
        <v>5</v>
      </c>
      <c r="D82" s="2">
        <f>IF(C82&gt;0,1,"")</f>
        <v/>
      </c>
      <c r="E82" s="2">
        <f>IF(D82=1,SUM($D$78:D82),"")</f>
        <v/>
      </c>
    </row>
    <row r="83" ht="15.95" customHeight="1">
      <c r="A83" s="79" t="inlineStr">
        <is>
          <t>15.02.02.0138</t>
        </is>
      </c>
      <c r="B83" s="81" t="inlineStr">
        <is>
          <t>Hexagon head bolt - DIN933 - M10X110</t>
        </is>
      </c>
      <c r="C83" s="2" t="n">
        <v>0</v>
      </c>
      <c r="D83" s="2">
        <f>IF(C83&gt;0,1,"")</f>
        <v/>
      </c>
      <c r="E83" s="2">
        <f>IF(D83=1,SUM($D$78:D83),"")</f>
        <v/>
      </c>
    </row>
    <row r="84" ht="15.95" customHeight="1">
      <c r="A84" s="79" t="inlineStr">
        <is>
          <t>15.02.02.0142</t>
        </is>
      </c>
      <c r="B84" s="81" t="inlineStr">
        <is>
          <t>Hexagon head bolt - DIN933 - M10X140</t>
        </is>
      </c>
      <c r="C84" s="2" t="n">
        <v>0</v>
      </c>
      <c r="D84" s="2">
        <f>IF(C84&gt;0,1,"")</f>
        <v/>
      </c>
      <c r="E84" s="2">
        <f>IF(D84=1,SUM($D$78:D84),"")</f>
        <v/>
      </c>
    </row>
    <row r="85">
      <c r="A85" s="79" t="inlineStr">
        <is>
          <t>15.03.01.0009</t>
        </is>
      </c>
      <c r="B85" s="82" t="inlineStr">
        <is>
          <t>Hexagon nut - DIN934 - M10</t>
        </is>
      </c>
      <c r="C85" s="2" t="n">
        <v>39</v>
      </c>
      <c r="D85" s="2">
        <f>IF(C85&gt;0,1,"")</f>
        <v/>
      </c>
      <c r="E85" s="2">
        <f>IF(D85=1,SUM($D$78:D85),"")</f>
        <v/>
      </c>
    </row>
    <row r="86">
      <c r="A86" s="79" t="inlineStr">
        <is>
          <t>15.08.03.0006</t>
        </is>
      </c>
      <c r="B86" s="82" t="inlineStr">
        <is>
          <t>Plain washer - DIN125-1A - M10</t>
        </is>
      </c>
      <c r="C86" s="2" t="n">
        <v>99</v>
      </c>
      <c r="D86" s="2">
        <f>IF(C86&gt;0,1,"")</f>
        <v/>
      </c>
      <c r="E86" s="2">
        <f>IF(D86=1,SUM($D$78:D86),"")</f>
        <v/>
      </c>
    </row>
    <row r="87">
      <c r="A87" s="79" t="inlineStr">
        <is>
          <t>15.02.11.0141</t>
        </is>
      </c>
      <c r="B87" s="82" t="inlineStr">
        <is>
          <t>Thread forming bolt - DIN7500D - M10x30</t>
        </is>
      </c>
      <c r="C87" s="2" t="n">
        <v>84</v>
      </c>
      <c r="D87" s="2">
        <f>IF(C87&gt;0,1,"")</f>
        <v/>
      </c>
      <c r="E87" s="2">
        <f>IF(D87=1,SUM($D$78:D87),"")</f>
        <v/>
      </c>
    </row>
    <row r="88">
      <c r="A88" s="79" t="inlineStr">
        <is>
          <t>19.02.02.0006</t>
        </is>
      </c>
      <c r="B88" s="82" t="inlineStr">
        <is>
          <t>Nut Cap - PE black - M10</t>
        </is>
      </c>
      <c r="C88" s="2" t="n">
        <v>0</v>
      </c>
      <c r="D88" s="2">
        <f>IF(C88&gt;0,1,"")</f>
        <v/>
      </c>
      <c r="E88" s="2">
        <f>IF(D88=1,SUM($D$78:D88),"")</f>
        <v/>
      </c>
      <c r="J88" s="12" t="n"/>
    </row>
    <row r="89">
      <c r="A89" s="79" t="inlineStr">
        <is>
          <t>15.02.05.0066</t>
        </is>
      </c>
      <c r="B89" s="82" t="inlineStr">
        <is>
          <t>Hexagon socket button head screw - ISO 7380-2 - M10x40</t>
        </is>
      </c>
      <c r="C89" s="2" t="n">
        <v>27</v>
      </c>
      <c r="D89" s="2">
        <f>IF(C89&gt;0,1,"")</f>
        <v/>
      </c>
      <c r="E89" s="2">
        <f>IF(D89=1,SUM($D$78:D89),"")</f>
        <v/>
      </c>
      <c r="J89" s="12" t="n"/>
    </row>
    <row r="90">
      <c r="A90" s="79" t="inlineStr">
        <is>
          <t>15.06.02.0050</t>
        </is>
      </c>
      <c r="B90" s="82" t="inlineStr">
        <is>
          <t>Self-drilling screw - neoprene washer - DIN7504K - 6,3x25</t>
        </is>
      </c>
      <c r="C90" s="2" t="n">
        <v>76</v>
      </c>
      <c r="D90" s="2">
        <f>IF(C90&gt;0,1,"")</f>
        <v/>
      </c>
      <c r="E90" s="2">
        <f>IF(D90=1,SUM($D$78:D90),"")</f>
        <v/>
      </c>
    </row>
    <row r="91">
      <c r="A91" s="79" t="inlineStr">
        <is>
          <t>16.04.03.0124</t>
        </is>
      </c>
      <c r="B91" s="82" t="inlineStr">
        <is>
          <t>Wood screw - Stainless A2 - 4x35mm</t>
        </is>
      </c>
      <c r="C91" s="2" t="n">
        <v>185</v>
      </c>
      <c r="D91" s="2">
        <f>IF(C91&gt;0,1,"")</f>
        <v/>
      </c>
      <c r="E91" s="2">
        <f>IF(D91=1,SUM($D$78:D91),"")</f>
        <v/>
      </c>
    </row>
    <row r="92">
      <c r="A92" s="83" t="inlineStr">
        <is>
          <t>14.09.01.0002</t>
        </is>
      </c>
      <c r="B92" s="82" t="inlineStr">
        <is>
          <t>Self-drilling screw with wings - 5,5x50mm</t>
        </is>
      </c>
      <c r="C92" s="2" t="n">
        <v>73</v>
      </c>
      <c r="D92" s="2">
        <f>IF(C92&gt;0,1,"")</f>
        <v/>
      </c>
      <c r="E92" s="2">
        <f>IF(D92=1,SUM($D$78:D92),"")</f>
        <v/>
      </c>
    </row>
    <row r="93">
      <c r="A93" s="83" t="inlineStr">
        <is>
          <t>17.04.01.0058</t>
        </is>
      </c>
      <c r="B93" s="82" t="inlineStr">
        <is>
          <t>Blind rivet - waterproof - DIN7337A - 4,8x12,5</t>
        </is>
      </c>
      <c r="C93" s="2" t="n">
        <v>0</v>
      </c>
      <c r="D93" s="2">
        <f>IF(C93&gt;0,1,"")</f>
        <v/>
      </c>
      <c r="E93" s="2">
        <f>IF(D93=1,SUM($D$78:D93),"")</f>
        <v/>
      </c>
    </row>
    <row r="94">
      <c r="A94" s="83" t="inlineStr">
        <is>
          <t>19.04.00.0001</t>
        </is>
      </c>
      <c r="B94" s="82" t="inlineStr">
        <is>
          <t>Nylon sleeve - PA6 - Ø26/14x6mm</t>
        </is>
      </c>
      <c r="C94" s="2" t="n">
        <v>0</v>
      </c>
      <c r="D94" s="2">
        <f>IF(C94&gt;0,1,"")</f>
        <v/>
      </c>
      <c r="E94" s="2">
        <f>IF(D94=1,SUM($D$78:D94),"")</f>
        <v/>
      </c>
    </row>
    <row r="95">
      <c r="A95" s="79" t="inlineStr">
        <is>
          <t>27.05.01.0001</t>
        </is>
      </c>
      <c r="B95" s="82" t="inlineStr">
        <is>
          <t>Leafguard - Ø50/70mm</t>
        </is>
      </c>
      <c r="C95" s="2" t="n">
        <v>5</v>
      </c>
      <c r="D95" s="2">
        <f>IF(C95&gt;0,1,"")</f>
        <v/>
      </c>
      <c r="E95" s="2">
        <f>IF(D95=1,SUM($D$78:D95),"")</f>
        <v/>
      </c>
    </row>
    <row r="96">
      <c r="A96" s="79" t="inlineStr">
        <is>
          <t>34.03.02.0034</t>
        </is>
      </c>
      <c r="B96" s="82" t="inlineStr">
        <is>
          <t>Hybrid polymer sealant - 400ml - Transparent - Proma Bond 334906</t>
        </is>
      </c>
      <c r="C96" s="2" t="n">
        <v>0</v>
      </c>
      <c r="D96" s="2">
        <f>IF(C96&gt;0,1,"")</f>
        <v/>
      </c>
      <c r="E96" s="2">
        <f>IF(D96=1,SUM($D$78:D96),"")</f>
        <v/>
      </c>
    </row>
    <row r="97">
      <c r="A97" s="79" t="inlineStr">
        <is>
          <t>18.01.09.0142</t>
        </is>
      </c>
      <c r="B97" s="82" t="inlineStr">
        <is>
          <t>Wedge Anchor - Baraco FM753ZN - M12/40x139mm</t>
        </is>
      </c>
      <c r="C97" s="2" t="n">
        <v>0</v>
      </c>
      <c r="D97" s="2">
        <f>IF(C97&gt;0,1,"")</f>
        <v/>
      </c>
      <c r="E97" s="2">
        <f>IF(D97=1,SUM($D$78:D97),"")</f>
        <v/>
      </c>
    </row>
    <row r="98">
      <c r="A98" t="inlineStr">
        <is>
          <t>18.01.18.0001</t>
        </is>
      </c>
      <c r="B98" t="inlineStr">
        <is>
          <t>Anchor rod - Zinc plated M12x160-5.8 - Würth W-VD-A/S</t>
        </is>
      </c>
      <c r="C98" s="2" t="n">
        <v>22</v>
      </c>
      <c r="D98" s="2">
        <f>IF(C98&gt;0,1,"")</f>
        <v/>
      </c>
      <c r="E98" s="2">
        <f>IF(D98=1,SUM($D$78:D98),"")</f>
        <v/>
      </c>
    </row>
    <row r="99">
      <c r="A99" t="inlineStr">
        <is>
          <t>18.03.03.0001</t>
        </is>
      </c>
      <c r="B99" t="inlineStr">
        <is>
          <t>Chemical anchor - capsule M12x95 - Würth W-VPZ 12</t>
        </is>
      </c>
      <c r="C99" s="2" t="n">
        <v>22</v>
      </c>
      <c r="D99" s="2">
        <f>IF(C99&gt;0,1,"")</f>
        <v/>
      </c>
      <c r="E99" s="2">
        <f>IF(D99=1,SUM($D$78:D99),"")</f>
        <v/>
      </c>
    </row>
    <row r="100">
      <c r="A100" s="79" t="inlineStr">
        <is>
          <t>15.03.04.0006</t>
        </is>
      </c>
      <c r="B100" s="82" t="inlineStr">
        <is>
          <t>Hexagon domed cap nut - Zinc plated M12</t>
        </is>
      </c>
      <c r="C100" s="2" t="n">
        <v>22</v>
      </c>
      <c r="D100" s="2">
        <f>IF(C100&gt;0,1,"")</f>
        <v/>
      </c>
      <c r="E100" s="2">
        <f>IF(D100=1,SUM($D$78:D100),"")</f>
        <v/>
      </c>
    </row>
    <row r="101">
      <c r="A101" s="83" t="inlineStr">
        <is>
          <t>20.05.01.0004</t>
        </is>
      </c>
      <c r="B101" s="79" t="inlineStr">
        <is>
          <t>Panel Clamp - Uni - Double - RAL9005 - incl. screw and cap</t>
        </is>
      </c>
      <c r="C101" s="2" t="n">
        <v>0</v>
      </c>
      <c r="D101" s="2">
        <f>IF(C101&gt;0,1,"")</f>
        <v/>
      </c>
      <c r="E101" s="2">
        <f>IF(D101=1,SUM($D$78:D101),"")</f>
        <v/>
      </c>
    </row>
    <row r="102">
      <c r="A102" s="79" t="inlineStr">
        <is>
          <t>20.05.01.0005</t>
        </is>
      </c>
      <c r="B102" s="79" t="inlineStr">
        <is>
          <t>Panel Clamp - Uni - Single - RAL9005 - incl. screw and cap</t>
        </is>
      </c>
      <c r="C102" s="2" t="n">
        <v>0</v>
      </c>
      <c r="D102" s="2">
        <f>IF(C102&gt;0,1,"")</f>
        <v/>
      </c>
      <c r="E102" s="2">
        <f>IF(D102=1,SUM($D$78:D102),"")</f>
        <v/>
      </c>
    </row>
    <row r="103">
      <c r="A103" s="79" t="inlineStr">
        <is>
          <t>30.03.03.0027</t>
        </is>
      </c>
      <c r="B103" s="79" t="inlineStr">
        <is>
          <t>Plug - 107VS VM 12 - RAL7035 - OBO 2029517</t>
        </is>
      </c>
      <c r="C103" s="2" t="n">
        <v>0</v>
      </c>
      <c r="D103" s="2">
        <f>IF(C103&gt;0,1,"")</f>
        <v/>
      </c>
      <c r="E103" s="2">
        <f>IF(D103=1,SUM($D$78:D103),"")</f>
        <v/>
      </c>
    </row>
    <row r="104">
      <c r="A104" s="79" t="inlineStr">
        <is>
          <t>30.04.04.0002</t>
        </is>
      </c>
      <c r="B104" s="79" t="inlineStr">
        <is>
          <t>Conduit coupler 20mm - Straight - RAL7035 - Helia 34623</t>
        </is>
      </c>
      <c r="C104" s="2" t="n">
        <v>0</v>
      </c>
      <c r="D104" s="2">
        <f>IF(C104&gt;0,1,"")</f>
        <v/>
      </c>
      <c r="E104" s="2">
        <f>IF(D104=1,SUM($D$78:D104),"")</f>
        <v/>
      </c>
    </row>
    <row r="105">
      <c r="A105" t="inlineStr">
        <is>
          <t>30.04.03.0004</t>
        </is>
      </c>
      <c r="B105" t="inlineStr">
        <is>
          <t>Conduit end cap 20mm - RAL7035 - Helia 34523</t>
        </is>
      </c>
      <c r="C105" s="2" t="n">
        <v>0</v>
      </c>
      <c r="D105" s="2">
        <f>IF(C105&gt;0,1,"")</f>
        <v/>
      </c>
      <c r="E105" s="2">
        <f>IF(D105=1,SUM($D$78:D105),"")</f>
        <v/>
      </c>
    </row>
    <row r="106">
      <c r="A106" t="inlineStr">
        <is>
          <t>30.04.02.0008</t>
        </is>
      </c>
      <c r="B106" t="inlineStr">
        <is>
          <t>Conduit clip - M6 19-22 - RAL7035 - OBO 2140233</t>
        </is>
      </c>
      <c r="C106" s="2" t="n">
        <v>0</v>
      </c>
      <c r="D106" s="2">
        <f>IF(C106&gt;0,1,"")</f>
        <v/>
      </c>
      <c r="E106" s="2">
        <f>IF(D106=1,SUM($D$78:D106),"")</f>
        <v/>
      </c>
    </row>
    <row r="107">
      <c r="A107" t="inlineStr">
        <is>
          <t>15.06.05.0011</t>
        </is>
      </c>
      <c r="B107" t="inlineStr">
        <is>
          <t>Self-drilling screw - DIN7504M-H - 4,2x25</t>
        </is>
      </c>
      <c r="C107" s="2" t="n">
        <v>0</v>
      </c>
      <c r="D107" s="2">
        <f>IF(C107&gt;0,1,"")</f>
        <v/>
      </c>
      <c r="E107" s="2">
        <f>IF(D107=1,SUM($D$78:D107),"")</f>
        <v/>
      </c>
    </row>
    <row r="111">
      <c r="A111" s="78" t="n"/>
      <c r="B111" s="78" t="n"/>
    </row>
    <row r="112">
      <c r="A112" s="78" t="n"/>
      <c r="B112" s="78" t="n"/>
    </row>
  </sheetData>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J251"/>
  <sheetViews>
    <sheetView workbookViewId="0">
      <selection activeCell="D11" sqref="D11"/>
    </sheetView>
  </sheetViews>
  <sheetFormatPr baseColWidth="8" defaultColWidth="8.85546875" defaultRowHeight="15"/>
  <cols>
    <col width="7.42578125" customWidth="1" min="1" max="1"/>
    <col width="7.42578125" bestFit="1" customWidth="1" min="2" max="2"/>
    <col width="12.7109375" bestFit="1" customWidth="1" min="3" max="3"/>
    <col width="71.42578125" bestFit="1" customWidth="1" min="4" max="4"/>
    <col width="14.7109375" customWidth="1" min="7" max="10"/>
    <col width="10.140625" bestFit="1" customWidth="1" min="12" max="12"/>
  </cols>
  <sheetData>
    <row r="1" ht="15.95" customHeight="1" thickBot="1">
      <c r="A1" t="inlineStr">
        <is>
          <t>INDEX2</t>
        </is>
      </c>
      <c r="B1" s="41" t="inlineStr">
        <is>
          <t>INDEX</t>
        </is>
      </c>
      <c r="C1" s="42" t="inlineStr">
        <is>
          <t>CODE</t>
        </is>
      </c>
      <c r="D1" s="42" t="inlineStr">
        <is>
          <t>DESCR</t>
        </is>
      </c>
      <c r="E1" s="42" t="inlineStr">
        <is>
          <t>QTY</t>
        </is>
      </c>
      <c r="F1" s="43" t="inlineStr">
        <is>
          <t>UNIT</t>
        </is>
      </c>
    </row>
    <row r="2">
      <c r="B2" s="33" t="n">
        <v>1</v>
      </c>
      <c r="C2" s="34">
        <f>_xlfn.XLOOKUP(B2,Calc!$A$128:$A$545,Calc!$G$128:$G$545,"",0)</f>
        <v/>
      </c>
      <c r="D2" s="34">
        <f>_xlfn.XLOOKUP(B2,Calc!$A$128:$A$545,Calc!$H$128:$H$545,"",0)</f>
        <v/>
      </c>
      <c r="E2" s="34">
        <f>_xlfn.XLOOKUP(B2,Calc!$A$128:$A$545,Calc!$C$128:$C$545,"",0)</f>
        <v/>
      </c>
      <c r="F2" s="35">
        <f>_xlfn.XLOOKUP(C2,Articles!$A$2:$A$232,Articles!$C$2:$C$232,"",0)</f>
        <v/>
      </c>
    </row>
    <row r="3">
      <c r="B3" s="36" t="n">
        <v>2</v>
      </c>
      <c r="C3">
        <f>_xlfn.XLOOKUP(B3,Calc!$A$128:$A$545,Calc!$G$128:$G$545,"",0)</f>
        <v/>
      </c>
      <c r="D3">
        <f>_xlfn.XLOOKUP(B3,Calc!$A$128:$A$545,Calc!$H$128:$H$545,"",0)</f>
        <v/>
      </c>
      <c r="E3">
        <f>_xlfn.XLOOKUP(B3,Calc!$A$128:$A$545,Calc!$C$128:$C$545,"",0)</f>
        <v/>
      </c>
      <c r="F3" s="37">
        <f>_xlfn.XLOOKUP(C3,Articles!$A$2:$A$232,Articles!$C$2:$C$232,"",0)</f>
        <v/>
      </c>
    </row>
    <row r="4">
      <c r="B4" s="36" t="n">
        <v>3</v>
      </c>
      <c r="C4">
        <f>_xlfn.XLOOKUP(B4,Calc!$A$128:$A$545,Calc!$G$128:$G$545,"",0)</f>
        <v/>
      </c>
      <c r="D4">
        <f>_xlfn.XLOOKUP(B4,Calc!$A$128:$A$545,Calc!$H$128:$H$545,"",0)</f>
        <v/>
      </c>
      <c r="E4">
        <f>_xlfn.XLOOKUP(B4,Calc!$A$128:$A$545,Calc!$C$128:$C$545,"",0)</f>
        <v/>
      </c>
      <c r="F4" s="37">
        <f>_xlfn.XLOOKUP(C4,Articles!$A$2:$A$232,Articles!$C$2:$C$232,"",0)</f>
        <v/>
      </c>
    </row>
    <row r="5">
      <c r="B5" s="36" t="n">
        <v>4</v>
      </c>
      <c r="C5">
        <f>_xlfn.XLOOKUP(B5,Calc!$A$128:$A$545,Calc!$G$128:$G$545,"",0)</f>
        <v/>
      </c>
      <c r="D5">
        <f>_xlfn.XLOOKUP(B5,Calc!$A$128:$A$545,Calc!$H$128:$H$545,"",0)</f>
        <v/>
      </c>
      <c r="E5">
        <f>_xlfn.XLOOKUP(B5,Calc!$A$128:$A$545,Calc!$C$128:$C$545,"",0)</f>
        <v/>
      </c>
      <c r="F5" s="37">
        <f>_xlfn.XLOOKUP(C5,Articles!$A$2:$A$232,Articles!$C$2:$C$232,"",0)</f>
        <v/>
      </c>
    </row>
    <row r="6">
      <c r="B6" s="36" t="n">
        <v>5</v>
      </c>
      <c r="C6">
        <f>_xlfn.XLOOKUP(B6,Calc!$A$128:$A$545,Calc!$G$128:$G$545,"",0)</f>
        <v/>
      </c>
      <c r="D6">
        <f>_xlfn.XLOOKUP(B6,Calc!$A$128:$A$545,Calc!$H$128:$H$545,"",0)</f>
        <v/>
      </c>
      <c r="E6">
        <f>_xlfn.XLOOKUP(B6,Calc!$A$128:$A$545,Calc!$C$128:$C$545,"",0)</f>
        <v/>
      </c>
      <c r="F6" s="37">
        <f>_xlfn.XLOOKUP(C6,Articles!$A$2:$A$232,Articles!$C$2:$C$232,"",0)</f>
        <v/>
      </c>
    </row>
    <row r="7">
      <c r="B7" s="36" t="n">
        <v>6</v>
      </c>
      <c r="C7">
        <f>_xlfn.XLOOKUP(B7,Calc!$A$128:$A$545,Calc!$G$128:$G$545,"",0)</f>
        <v/>
      </c>
      <c r="D7">
        <f>_xlfn.XLOOKUP(B7,Calc!$A$128:$A$545,Calc!$H$128:$H$545,"",0)</f>
        <v/>
      </c>
      <c r="E7">
        <f>_xlfn.XLOOKUP(B7,Calc!$A$128:$A$545,Calc!$C$128:$C$545,"",0)</f>
        <v/>
      </c>
      <c r="F7" s="37">
        <f>_xlfn.XLOOKUP(C7,Articles!$A$2:$A$232,Articles!$C$2:$C$232,"",0)</f>
        <v/>
      </c>
    </row>
    <row r="8">
      <c r="B8" s="36" t="n">
        <v>7</v>
      </c>
      <c r="C8">
        <f>_xlfn.XLOOKUP(B8,Calc!$A$128:$A$545,Calc!$G$128:$G$545,"",0)</f>
        <v/>
      </c>
      <c r="D8">
        <f>_xlfn.XLOOKUP(B8,Calc!$A$128:$A$545,Calc!$H$128:$H$545,"",0)</f>
        <v/>
      </c>
      <c r="E8">
        <f>_xlfn.XLOOKUP(B8,Calc!$A$128:$A$545,Calc!$C$128:$C$545,"",0)</f>
        <v/>
      </c>
      <c r="F8" s="37">
        <f>_xlfn.XLOOKUP(C8,Articles!$A$2:$A$232,Articles!$C$2:$C$232,"",0)</f>
        <v/>
      </c>
    </row>
    <row r="9">
      <c r="B9" s="36" t="n">
        <v>8</v>
      </c>
      <c r="C9">
        <f>_xlfn.XLOOKUP(B9,Calc!$A$128:$A$545,Calc!$G$128:$G$545,"",0)</f>
        <v/>
      </c>
      <c r="D9">
        <f>_xlfn.XLOOKUP(B9,Calc!$A$128:$A$545,Calc!$H$128:$H$545,"",0)</f>
        <v/>
      </c>
      <c r="E9">
        <f>_xlfn.XLOOKUP(B9,Calc!$A$128:$A$545,Calc!$C$128:$C$545,"",0)</f>
        <v/>
      </c>
      <c r="F9" s="37">
        <f>_xlfn.XLOOKUP(C9,Articles!$A$2:$A$232,Articles!$C$2:$C$232,"",0)</f>
        <v/>
      </c>
    </row>
    <row r="10">
      <c r="B10" s="36" t="n">
        <v>9</v>
      </c>
      <c r="C10">
        <f>_xlfn.XLOOKUP(B10,Calc!$A$128:$A$545,Calc!$G$128:$G$545,"",0)</f>
        <v/>
      </c>
      <c r="D10">
        <f>_xlfn.XLOOKUP(B10,Calc!$A$128:$A$545,Calc!$H$128:$H$545,"",0)</f>
        <v/>
      </c>
      <c r="E10">
        <f>_xlfn.XLOOKUP(B10,Calc!$A$128:$A$545,Calc!$C$128:$C$545,"",0)</f>
        <v/>
      </c>
      <c r="F10" s="37">
        <f>_xlfn.XLOOKUP(C10,Articles!$A$2:$A$232,Articles!$C$2:$C$232,"",0)</f>
        <v/>
      </c>
    </row>
    <row r="11">
      <c r="B11" s="36" t="n">
        <v>10</v>
      </c>
      <c r="C11">
        <f>_xlfn.XLOOKUP(B11,Calc!$A$128:$A$545,Calc!$G$128:$G$545,"",0)</f>
        <v/>
      </c>
      <c r="D11">
        <f>_xlfn.XLOOKUP(B11,Calc!$A$128:$A$545,Calc!$H$128:$H$545,"",0)</f>
        <v/>
      </c>
      <c r="E11">
        <f>_xlfn.XLOOKUP(B11,Calc!$A$128:$A$545,Calc!$C$128:$C$545,"",0)</f>
        <v/>
      </c>
      <c r="F11" s="37">
        <f>_xlfn.XLOOKUP(C11,Articles!$A$2:$A$232,Articles!$C$2:$C$232,"",0)</f>
        <v/>
      </c>
    </row>
    <row r="12">
      <c r="B12" s="36" t="n">
        <v>11</v>
      </c>
      <c r="C12">
        <f>_xlfn.XLOOKUP(B12,Calc!$A$128:$A$545,Calc!$G$128:$G$545,"",0)</f>
        <v/>
      </c>
      <c r="D12">
        <f>_xlfn.XLOOKUP(B12,Calc!$A$128:$A$545,Calc!$H$128:$H$545,"",0)</f>
        <v/>
      </c>
      <c r="E12">
        <f>_xlfn.XLOOKUP(B12,Calc!$A$128:$A$545,Calc!$C$128:$C$545,"",0)</f>
        <v/>
      </c>
      <c r="F12" s="37">
        <f>_xlfn.XLOOKUP(C12,Articles!$A$2:$A$232,Articles!$C$2:$C$232,"",0)</f>
        <v/>
      </c>
    </row>
    <row r="13">
      <c r="B13" s="36" t="n">
        <v>12</v>
      </c>
      <c r="C13">
        <f>_xlfn.XLOOKUP(B13,Calc!$A$128:$A$545,Calc!$G$128:$G$545,"",0)</f>
        <v/>
      </c>
      <c r="D13">
        <f>_xlfn.XLOOKUP(B13,Calc!$A$128:$A$545,Calc!$H$128:$H$545,"",0)</f>
        <v/>
      </c>
      <c r="E13">
        <f>_xlfn.XLOOKUP(B13,Calc!$A$128:$A$545,Calc!$C$128:$C$545,"",0)</f>
        <v/>
      </c>
      <c r="F13" s="37">
        <f>_xlfn.XLOOKUP(C13,Articles!$A$2:$A$232,Articles!$C$2:$C$232,"",0)</f>
        <v/>
      </c>
    </row>
    <row r="14">
      <c r="B14" s="36" t="n">
        <v>13</v>
      </c>
      <c r="C14">
        <f>_xlfn.XLOOKUP(B14,Calc!$A$128:$A$545,Calc!$G$128:$G$545,"",0)</f>
        <v/>
      </c>
      <c r="D14">
        <f>_xlfn.XLOOKUP(B14,Calc!$A$128:$A$545,Calc!$H$128:$H$545,"",0)</f>
        <v/>
      </c>
      <c r="E14">
        <f>_xlfn.XLOOKUP(B14,Calc!$A$128:$A$545,Calc!$C$128:$C$545,"",0)</f>
        <v/>
      </c>
      <c r="F14" s="37">
        <f>_xlfn.XLOOKUP(C14,Articles!$A$2:$A$232,Articles!$C$2:$C$232,"",0)</f>
        <v/>
      </c>
    </row>
    <row r="15">
      <c r="B15" s="36" t="n">
        <v>14</v>
      </c>
      <c r="C15">
        <f>_xlfn.XLOOKUP(B15,Calc!$A$128:$A$545,Calc!$G$128:$G$545,"",0)</f>
        <v/>
      </c>
      <c r="D15">
        <f>_xlfn.XLOOKUP(B15,Calc!$A$128:$A$545,Calc!$H$128:$H$545,"",0)</f>
        <v/>
      </c>
      <c r="E15">
        <f>_xlfn.XLOOKUP(B15,Calc!$A$128:$A$545,Calc!$C$128:$C$545,"",0)</f>
        <v/>
      </c>
      <c r="F15" s="37">
        <f>_xlfn.XLOOKUP(C15,Articles!$A$2:$A$232,Articles!$C$2:$C$232,"",0)</f>
        <v/>
      </c>
    </row>
    <row r="16">
      <c r="B16" s="36" t="n">
        <v>15</v>
      </c>
      <c r="C16">
        <f>_xlfn.XLOOKUP(B16,Calc!$A$128:$A$545,Calc!$G$128:$G$545,"",0)</f>
        <v/>
      </c>
      <c r="D16">
        <f>_xlfn.XLOOKUP(B16,Calc!$A$128:$A$545,Calc!$H$128:$H$545,"",0)</f>
        <v/>
      </c>
      <c r="E16">
        <f>_xlfn.XLOOKUP(B16,Calc!$A$128:$A$545,Calc!$C$128:$C$545,"",0)</f>
        <v/>
      </c>
      <c r="F16" s="37">
        <f>_xlfn.XLOOKUP(C16,Articles!$A$2:$A$232,Articles!$C$2:$C$232,"",0)</f>
        <v/>
      </c>
    </row>
    <row r="17">
      <c r="B17" s="36" t="n">
        <v>16</v>
      </c>
      <c r="C17">
        <f>_xlfn.XLOOKUP(B17,Calc!$A$128:$A$545,Calc!$G$128:$G$545,"",0)</f>
        <v/>
      </c>
      <c r="D17">
        <f>_xlfn.XLOOKUP(B17,Calc!$A$128:$A$545,Calc!$H$128:$H$545,"",0)</f>
        <v/>
      </c>
      <c r="E17">
        <f>_xlfn.XLOOKUP(B17,Calc!$A$128:$A$545,Calc!$C$128:$C$545,"",0)</f>
        <v/>
      </c>
      <c r="F17" s="37">
        <f>_xlfn.XLOOKUP(C17,Articles!$A$2:$A$232,Articles!$C$2:$C$232,"",0)</f>
        <v/>
      </c>
    </row>
    <row r="18">
      <c r="B18" s="36" t="n">
        <v>17</v>
      </c>
      <c r="C18">
        <f>_xlfn.XLOOKUP(B18,Calc!$A$128:$A$545,Calc!$G$128:$G$545,"",0)</f>
        <v/>
      </c>
      <c r="D18">
        <f>_xlfn.XLOOKUP(B18,Calc!$A$128:$A$545,Calc!$H$128:$H$545,"",0)</f>
        <v/>
      </c>
      <c r="E18">
        <f>_xlfn.XLOOKUP(B18,Calc!$A$128:$A$545,Calc!$C$128:$C$545,"",0)</f>
        <v/>
      </c>
      <c r="F18" s="37">
        <f>_xlfn.XLOOKUP(C18,Articles!$A$2:$A$232,Articles!$C$2:$C$232,"",0)</f>
        <v/>
      </c>
    </row>
    <row r="19">
      <c r="B19" s="36" t="n">
        <v>18</v>
      </c>
      <c r="C19">
        <f>_xlfn.XLOOKUP(B19,Calc!$A$128:$A$545,Calc!$G$128:$G$545,"",0)</f>
        <v/>
      </c>
      <c r="D19">
        <f>_xlfn.XLOOKUP(B19,Calc!$A$128:$A$545,Calc!$H$128:$H$545,"",0)</f>
        <v/>
      </c>
      <c r="E19">
        <f>_xlfn.XLOOKUP(B19,Calc!$A$128:$A$545,Calc!$C$128:$C$545,"",0)</f>
        <v/>
      </c>
      <c r="F19" s="37">
        <f>_xlfn.XLOOKUP(C19,Articles!$A$2:$A$232,Articles!$C$2:$C$232,"",0)</f>
        <v/>
      </c>
    </row>
    <row r="20">
      <c r="B20" s="36" t="n">
        <v>19</v>
      </c>
      <c r="C20">
        <f>_xlfn.XLOOKUP(B20,Calc!$A$128:$A$545,Calc!$G$128:$G$545,"",0)</f>
        <v/>
      </c>
      <c r="D20">
        <f>_xlfn.XLOOKUP(B20,Calc!$A$128:$A$545,Calc!$H$128:$H$545,"",0)</f>
        <v/>
      </c>
      <c r="E20">
        <f>_xlfn.XLOOKUP(B20,Calc!$A$128:$A$545,Calc!$C$128:$C$545,"",0)</f>
        <v/>
      </c>
      <c r="F20" s="37">
        <f>_xlfn.XLOOKUP(C20,Articles!$A$2:$A$232,Articles!$C$2:$C$232,"",0)</f>
        <v/>
      </c>
    </row>
    <row r="21">
      <c r="B21" s="36" t="n">
        <v>20</v>
      </c>
      <c r="C21">
        <f>_xlfn.XLOOKUP(B21,Calc!$A$128:$A$545,Calc!$G$128:$G$545,"",0)</f>
        <v/>
      </c>
      <c r="D21">
        <f>_xlfn.XLOOKUP(B21,Calc!$A$128:$A$545,Calc!$H$128:$H$545,"",0)</f>
        <v/>
      </c>
      <c r="E21">
        <f>_xlfn.XLOOKUP(B21,Calc!$A$128:$A$545,Calc!$C$128:$C$545,"",0)</f>
        <v/>
      </c>
      <c r="F21" s="37">
        <f>_xlfn.XLOOKUP(C21,Articles!$A$2:$A$232,Articles!$C$2:$C$232,"",0)</f>
        <v/>
      </c>
    </row>
    <row r="22">
      <c r="B22" s="36" t="n">
        <v>21</v>
      </c>
      <c r="C22">
        <f>_xlfn.XLOOKUP(B22,Calc!$A$128:$A$545,Calc!$G$128:$G$545,"",0)</f>
        <v/>
      </c>
      <c r="D22">
        <f>_xlfn.XLOOKUP(B22,Calc!$A$128:$A$545,Calc!$H$128:$H$545,"",0)</f>
        <v/>
      </c>
      <c r="E22">
        <f>_xlfn.XLOOKUP(B22,Calc!$A$128:$A$545,Calc!$C$128:$C$545,"",0)</f>
        <v/>
      </c>
      <c r="F22" s="37">
        <f>_xlfn.XLOOKUP(C22,Articles!$A$2:$A$232,Articles!$C$2:$C$232,"",0)</f>
        <v/>
      </c>
    </row>
    <row r="23">
      <c r="B23" s="36" t="n">
        <v>22</v>
      </c>
      <c r="C23">
        <f>_xlfn.XLOOKUP(B23,Calc!$A$128:$A$545,Calc!$G$128:$G$545,"",0)</f>
        <v/>
      </c>
      <c r="D23">
        <f>_xlfn.XLOOKUP(B23,Calc!$A$128:$A$545,Calc!$H$128:$H$545,"",0)</f>
        <v/>
      </c>
      <c r="E23">
        <f>_xlfn.XLOOKUP(B23,Calc!$A$128:$A$545,Calc!$C$128:$C$545,"",0)</f>
        <v/>
      </c>
      <c r="F23" s="37">
        <f>_xlfn.XLOOKUP(C23,Articles!$A$2:$A$232,Articles!$C$2:$C$232,"",0)</f>
        <v/>
      </c>
    </row>
    <row r="24">
      <c r="B24" s="36" t="n">
        <v>23</v>
      </c>
      <c r="C24">
        <f>_xlfn.XLOOKUP(B24,Calc!$A$128:$A$545,Calc!$G$128:$G$545,"",0)</f>
        <v/>
      </c>
      <c r="D24">
        <f>_xlfn.XLOOKUP(B24,Calc!$A$128:$A$545,Calc!$H$128:$H$545,"",0)</f>
        <v/>
      </c>
      <c r="E24">
        <f>_xlfn.XLOOKUP(B24,Calc!$A$128:$A$545,Calc!$C$128:$C$545,"",0)</f>
        <v/>
      </c>
      <c r="F24" s="37">
        <f>_xlfn.XLOOKUP(C24,Articles!$A$2:$A$232,Articles!$C$2:$C$232,"",0)</f>
        <v/>
      </c>
    </row>
    <row r="25">
      <c r="B25" s="36" t="n">
        <v>24</v>
      </c>
      <c r="C25">
        <f>_xlfn.XLOOKUP(B25,Calc!$A$128:$A$545,Calc!$G$128:$G$545,"",0)</f>
        <v/>
      </c>
      <c r="D25">
        <f>_xlfn.XLOOKUP(B25,Calc!$A$128:$A$545,Calc!$H$128:$H$545,"",0)</f>
        <v/>
      </c>
      <c r="E25">
        <f>_xlfn.XLOOKUP(B25,Calc!$A$128:$A$545,Calc!$C$128:$C$545,"",0)</f>
        <v/>
      </c>
      <c r="F25" s="37">
        <f>_xlfn.XLOOKUP(C25,Articles!$A$2:$A$232,Articles!$C$2:$C$232,"",0)</f>
        <v/>
      </c>
    </row>
    <row r="26">
      <c r="B26" s="36" t="n">
        <v>25</v>
      </c>
      <c r="C26">
        <f>_xlfn.XLOOKUP(B26,Calc!$A$128:$A$545,Calc!$G$128:$G$545,"",0)</f>
        <v/>
      </c>
      <c r="D26">
        <f>_xlfn.XLOOKUP(B26,Calc!$A$128:$A$545,Calc!$H$128:$H$545,"",0)</f>
        <v/>
      </c>
      <c r="E26">
        <f>_xlfn.XLOOKUP(B26,Calc!$A$128:$A$545,Calc!$C$128:$C$545,"",0)</f>
        <v/>
      </c>
      <c r="F26" s="37">
        <f>_xlfn.XLOOKUP(C26,Articles!$A$2:$A$232,Articles!$C$2:$C$232,"",0)</f>
        <v/>
      </c>
    </row>
    <row r="27">
      <c r="B27" s="36" t="n">
        <v>26</v>
      </c>
      <c r="C27">
        <f>_xlfn.XLOOKUP(B27,Calc!$A$128:$A$545,Calc!$G$128:$G$545,"",0)</f>
        <v/>
      </c>
      <c r="D27">
        <f>_xlfn.XLOOKUP(B27,Calc!$A$128:$A$545,Calc!$H$128:$H$545,"",0)</f>
        <v/>
      </c>
      <c r="E27">
        <f>_xlfn.XLOOKUP(B27,Calc!$A$128:$A$545,Calc!$C$128:$C$545,"",0)</f>
        <v/>
      </c>
      <c r="F27" s="37">
        <f>_xlfn.XLOOKUP(C27,Articles!$A$2:$A$232,Articles!$C$2:$C$232,"",0)</f>
        <v/>
      </c>
    </row>
    <row r="28">
      <c r="B28" s="36" t="n">
        <v>27</v>
      </c>
      <c r="C28">
        <f>_xlfn.XLOOKUP(B28,Calc!$A$128:$A$545,Calc!$G$128:$G$545,"",0)</f>
        <v/>
      </c>
      <c r="D28">
        <f>_xlfn.XLOOKUP(B28,Calc!$A$128:$A$545,Calc!$H$128:$H$545,"",0)</f>
        <v/>
      </c>
      <c r="E28">
        <f>_xlfn.XLOOKUP(B28,Calc!$A$128:$A$545,Calc!$C$128:$C$545,"",0)</f>
        <v/>
      </c>
      <c r="F28" s="37">
        <f>_xlfn.XLOOKUP(C28,Articles!$A$2:$A$232,Articles!$C$2:$C$232,"",0)</f>
        <v/>
      </c>
    </row>
    <row r="29">
      <c r="B29" s="36" t="n">
        <v>28</v>
      </c>
      <c r="C29">
        <f>_xlfn.XLOOKUP(B29,Calc!$A$128:$A$545,Calc!$G$128:$G$545,"",0)</f>
        <v/>
      </c>
      <c r="D29">
        <f>_xlfn.XLOOKUP(B29,Calc!$A$128:$A$545,Calc!$H$128:$H$545,"",0)</f>
        <v/>
      </c>
      <c r="E29">
        <f>_xlfn.XLOOKUP(B29,Calc!$A$128:$A$545,Calc!$C$128:$C$545,"",0)</f>
        <v/>
      </c>
      <c r="F29" s="37">
        <f>_xlfn.XLOOKUP(C29,Articles!$A$2:$A$232,Articles!$C$2:$C$232,"",0)</f>
        <v/>
      </c>
    </row>
    <row r="30">
      <c r="B30" s="36" t="n">
        <v>29</v>
      </c>
      <c r="C30">
        <f>_xlfn.XLOOKUP(B30,Calc!$A$128:$A$545,Calc!$G$128:$G$545,"",0)</f>
        <v/>
      </c>
      <c r="D30">
        <f>_xlfn.XLOOKUP(B30,Calc!$A$128:$A$545,Calc!$H$128:$H$545,"",0)</f>
        <v/>
      </c>
      <c r="E30">
        <f>_xlfn.XLOOKUP(B30,Calc!$A$128:$A$545,Calc!$C$128:$C$545,"",0)</f>
        <v/>
      </c>
      <c r="F30" s="37">
        <f>_xlfn.XLOOKUP(C30,Articles!$A$2:$A$232,Articles!$C$2:$C$232,"",0)</f>
        <v/>
      </c>
    </row>
    <row r="31">
      <c r="B31" s="36" t="n">
        <v>30</v>
      </c>
      <c r="C31">
        <f>_xlfn.XLOOKUP(B31,Calc!$A$128:$A$545,Calc!$G$128:$G$545,"",0)</f>
        <v/>
      </c>
      <c r="D31">
        <f>_xlfn.XLOOKUP(B31,Calc!$A$128:$A$545,Calc!$H$128:$H$545,"",0)</f>
        <v/>
      </c>
      <c r="E31">
        <f>_xlfn.XLOOKUP(B31,Calc!$A$128:$A$545,Calc!$C$128:$C$545,"",0)</f>
        <v/>
      </c>
      <c r="F31" s="37">
        <f>_xlfn.XLOOKUP(C31,Articles!$A$2:$A$232,Articles!$C$2:$C$232,"",0)</f>
        <v/>
      </c>
    </row>
    <row r="32">
      <c r="B32" s="36" t="n">
        <v>31</v>
      </c>
      <c r="C32">
        <f>_xlfn.XLOOKUP(B32,Calc!$A$128:$A$545,Calc!$G$128:$G$545,"",0)</f>
        <v/>
      </c>
      <c r="D32">
        <f>_xlfn.XLOOKUP(B32,Calc!$A$128:$A$545,Calc!$H$128:$H$545,"",0)</f>
        <v/>
      </c>
      <c r="E32">
        <f>_xlfn.XLOOKUP(B32,Calc!$A$128:$A$545,Calc!$C$128:$C$545,"",0)</f>
        <v/>
      </c>
      <c r="F32" s="37">
        <f>_xlfn.XLOOKUP(C32,Articles!$A$2:$A$232,Articles!$C$2:$C$232,"",0)</f>
        <v/>
      </c>
    </row>
    <row r="33">
      <c r="B33" s="36" t="n">
        <v>32</v>
      </c>
      <c r="C33">
        <f>_xlfn.XLOOKUP(B33,Calc!$A$128:$A$545,Calc!$G$128:$G$545,"",0)</f>
        <v/>
      </c>
      <c r="D33">
        <f>_xlfn.XLOOKUP(B33,Calc!$A$128:$A$545,Calc!$H$128:$H$545,"",0)</f>
        <v/>
      </c>
      <c r="E33">
        <f>_xlfn.XLOOKUP(B33,Calc!$A$128:$A$545,Calc!$C$128:$C$545,"",0)</f>
        <v/>
      </c>
      <c r="F33" s="37">
        <f>_xlfn.XLOOKUP(C33,Articles!$A$2:$A$232,Articles!$C$2:$C$232,"",0)</f>
        <v/>
      </c>
    </row>
    <row r="34">
      <c r="B34" s="36" t="n">
        <v>33</v>
      </c>
      <c r="C34">
        <f>_xlfn.XLOOKUP(B34,Calc!$A$128:$A$545,Calc!$G$128:$G$545,"",0)</f>
        <v/>
      </c>
      <c r="D34">
        <f>_xlfn.XLOOKUP(B34,Calc!$A$128:$A$545,Calc!$H$128:$H$545,"",0)</f>
        <v/>
      </c>
      <c r="E34">
        <f>_xlfn.XLOOKUP(B34,Calc!$A$128:$A$545,Calc!$C$128:$C$545,"",0)</f>
        <v/>
      </c>
      <c r="F34" s="37">
        <f>_xlfn.XLOOKUP(C34,Articles!$A$2:$A$232,Articles!$C$2:$C$232,"",0)</f>
        <v/>
      </c>
    </row>
    <row r="35">
      <c r="B35" s="36" t="n">
        <v>34</v>
      </c>
      <c r="C35">
        <f>_xlfn.XLOOKUP(B35,Calc!$A$128:$A$545,Calc!$G$128:$G$545,"",0)</f>
        <v/>
      </c>
      <c r="D35">
        <f>_xlfn.XLOOKUP(B35,Calc!$A$128:$A$545,Calc!$H$128:$H$545,"",0)</f>
        <v/>
      </c>
      <c r="E35">
        <f>_xlfn.XLOOKUP(B35,Calc!$A$128:$A$545,Calc!$C$128:$C$545,"",0)</f>
        <v/>
      </c>
      <c r="F35" s="37">
        <f>_xlfn.XLOOKUP(C35,Articles!$A$2:$A$232,Articles!$C$2:$C$232,"",0)</f>
        <v/>
      </c>
    </row>
    <row r="36">
      <c r="B36" s="36" t="n">
        <v>35</v>
      </c>
      <c r="C36">
        <f>_xlfn.XLOOKUP(B36,Calc!$A$128:$A$545,Calc!$G$128:$G$545,"",0)</f>
        <v/>
      </c>
      <c r="D36">
        <f>_xlfn.XLOOKUP(B36,Calc!$A$128:$A$545,Calc!$H$128:$H$545,"",0)</f>
        <v/>
      </c>
      <c r="E36">
        <f>_xlfn.XLOOKUP(B36,Calc!$A$128:$A$545,Calc!$C$128:$C$545,"",0)</f>
        <v/>
      </c>
      <c r="F36" s="37">
        <f>_xlfn.XLOOKUP(C36,Articles!$A$2:$A$232,Articles!$C$2:$C$232,"",0)</f>
        <v/>
      </c>
    </row>
    <row r="37">
      <c r="B37" s="36" t="n">
        <v>36</v>
      </c>
      <c r="C37">
        <f>_xlfn.XLOOKUP(B37,Calc!$A$128:$A$545,Calc!$G$128:$G$545,"",0)</f>
        <v/>
      </c>
      <c r="D37">
        <f>_xlfn.XLOOKUP(B37,Calc!$A$128:$A$545,Calc!$H$128:$H$545,"",0)</f>
        <v/>
      </c>
      <c r="E37">
        <f>_xlfn.XLOOKUP(B37,Calc!$A$128:$A$545,Calc!$C$128:$C$545,"",0)</f>
        <v/>
      </c>
      <c r="F37" s="37">
        <f>_xlfn.XLOOKUP(C37,Articles!$A$2:$A$232,Articles!$C$2:$C$232,"",0)</f>
        <v/>
      </c>
    </row>
    <row r="38">
      <c r="B38" s="36" t="n">
        <v>37</v>
      </c>
      <c r="C38">
        <f>_xlfn.XLOOKUP(B38,Calc!$A$128:$A$545,Calc!$G$128:$G$545,"",0)</f>
        <v/>
      </c>
      <c r="D38">
        <f>_xlfn.XLOOKUP(B38,Calc!$A$128:$A$545,Calc!$H$128:$H$545,"",0)</f>
        <v/>
      </c>
      <c r="E38">
        <f>_xlfn.XLOOKUP(B38,Calc!$A$128:$A$545,Calc!$C$128:$C$545,"",0)</f>
        <v/>
      </c>
      <c r="F38" s="37">
        <f>_xlfn.XLOOKUP(C38,Articles!$A$2:$A$232,Articles!$C$2:$C$232,"",0)</f>
        <v/>
      </c>
    </row>
    <row r="39">
      <c r="B39" s="36" t="n">
        <v>38</v>
      </c>
      <c r="C39">
        <f>_xlfn.XLOOKUP(B39,Calc!$A$128:$A$545,Calc!$G$128:$G$545,"",0)</f>
        <v/>
      </c>
      <c r="D39">
        <f>_xlfn.XLOOKUP(B39,Calc!$A$128:$A$545,Calc!$H$128:$H$545,"",0)</f>
        <v/>
      </c>
      <c r="E39">
        <f>_xlfn.XLOOKUP(B39,Calc!$A$128:$A$545,Calc!$C$128:$C$545,"",0)</f>
        <v/>
      </c>
      <c r="F39" s="37">
        <f>_xlfn.XLOOKUP(C39,Articles!$A$2:$A$232,Articles!$C$2:$C$232,"",0)</f>
        <v/>
      </c>
    </row>
    <row r="40">
      <c r="B40" s="36" t="n">
        <v>39</v>
      </c>
      <c r="C40">
        <f>_xlfn.XLOOKUP(B40,Calc!$A$128:$A$545,Calc!$G$128:$G$545,"",0)</f>
        <v/>
      </c>
      <c r="D40">
        <f>_xlfn.XLOOKUP(B40,Calc!$A$128:$A$545,Calc!$H$128:$H$545,"",0)</f>
        <v/>
      </c>
      <c r="E40">
        <f>_xlfn.XLOOKUP(B40,Calc!$A$128:$A$545,Calc!$C$128:$C$545,"",0)</f>
        <v/>
      </c>
      <c r="F40" s="37">
        <f>_xlfn.XLOOKUP(C40,Articles!$A$2:$A$232,Articles!$C$2:$C$232,"",0)</f>
        <v/>
      </c>
    </row>
    <row r="41">
      <c r="B41" s="36" t="n">
        <v>40</v>
      </c>
      <c r="C41">
        <f>_xlfn.XLOOKUP(B41,Calc!$A$128:$A$545,Calc!$G$128:$G$545,"",0)</f>
        <v/>
      </c>
      <c r="D41">
        <f>_xlfn.XLOOKUP(B41,Calc!$A$128:$A$545,Calc!$H$128:$H$545,"",0)</f>
        <v/>
      </c>
      <c r="E41">
        <f>_xlfn.XLOOKUP(B41,Calc!$A$128:$A$545,Calc!$C$128:$C$545,"",0)</f>
        <v/>
      </c>
      <c r="F41" s="37">
        <f>_xlfn.XLOOKUP(C41,Articles!$A$2:$A$232,Articles!$C$2:$C$232,"",0)</f>
        <v/>
      </c>
    </row>
    <row r="42">
      <c r="B42" s="36" t="n">
        <v>41</v>
      </c>
      <c r="C42">
        <f>_xlfn.XLOOKUP(B42,Calc!$A$128:$A$545,Calc!$G$128:$G$545,"",0)</f>
        <v/>
      </c>
      <c r="D42">
        <f>_xlfn.XLOOKUP(B42,Calc!$A$128:$A$545,Calc!$H$128:$H$545,"",0)</f>
        <v/>
      </c>
      <c r="E42">
        <f>_xlfn.XLOOKUP(B42,Calc!$A$128:$A$545,Calc!$C$128:$C$545,"",0)</f>
        <v/>
      </c>
      <c r="F42" s="37">
        <f>_xlfn.XLOOKUP(C42,Articles!$A$2:$A$232,Articles!$C$2:$C$232,"",0)</f>
        <v/>
      </c>
    </row>
    <row r="43">
      <c r="B43" s="36" t="n">
        <v>42</v>
      </c>
      <c r="C43">
        <f>_xlfn.XLOOKUP(B43,Calc!$A$128:$A$545,Calc!$G$128:$G$545,"",0)</f>
        <v/>
      </c>
      <c r="D43">
        <f>_xlfn.XLOOKUP(B43,Calc!$A$128:$A$545,Calc!$H$128:$H$545,"",0)</f>
        <v/>
      </c>
      <c r="E43">
        <f>_xlfn.XLOOKUP(B43,Calc!$A$128:$A$545,Calc!$C$128:$C$545,"",0)</f>
        <v/>
      </c>
      <c r="F43" s="37">
        <f>_xlfn.XLOOKUP(C43,Articles!$A$2:$A$232,Articles!$C$2:$C$232,"",0)</f>
        <v/>
      </c>
    </row>
    <row r="44">
      <c r="B44" s="36" t="n">
        <v>43</v>
      </c>
      <c r="C44">
        <f>_xlfn.XLOOKUP(B44,Calc!$A$128:$A$545,Calc!$G$128:$G$545,"",0)</f>
        <v/>
      </c>
      <c r="D44">
        <f>_xlfn.XLOOKUP(B44,Calc!$A$128:$A$545,Calc!$H$128:$H$545,"",0)</f>
        <v/>
      </c>
      <c r="E44">
        <f>_xlfn.XLOOKUP(B44,Calc!$A$128:$A$545,Calc!$C$128:$C$545,"",0)</f>
        <v/>
      </c>
      <c r="F44" s="37">
        <f>_xlfn.XLOOKUP(C44,Articles!$A$2:$A$232,Articles!$C$2:$C$232,"",0)</f>
        <v/>
      </c>
    </row>
    <row r="45">
      <c r="B45" s="36" t="n">
        <v>44</v>
      </c>
      <c r="C45">
        <f>_xlfn.XLOOKUP(B45,Calc!$A$128:$A$545,Calc!$G$128:$G$545,"",0)</f>
        <v/>
      </c>
      <c r="D45">
        <f>_xlfn.XLOOKUP(B45,Calc!$A$128:$A$545,Calc!$H$128:$H$545,"",0)</f>
        <v/>
      </c>
      <c r="E45">
        <f>_xlfn.XLOOKUP(B45,Calc!$A$128:$A$545,Calc!$C$128:$C$545,"",0)</f>
        <v/>
      </c>
      <c r="F45" s="37">
        <f>_xlfn.XLOOKUP(C45,Articles!$A$2:$A$232,Articles!$C$2:$C$232,"",0)</f>
        <v/>
      </c>
    </row>
    <row r="46">
      <c r="B46" s="36" t="n">
        <v>45</v>
      </c>
      <c r="C46">
        <f>_xlfn.XLOOKUP(B46,Calc!$A$128:$A$545,Calc!$G$128:$G$545,"",0)</f>
        <v/>
      </c>
      <c r="D46">
        <f>_xlfn.XLOOKUP(B46,Calc!$A$128:$A$545,Calc!$H$128:$H$545,"",0)</f>
        <v/>
      </c>
      <c r="E46">
        <f>_xlfn.XLOOKUP(B46,Calc!$A$128:$A$545,Calc!$C$128:$C$545,"",0)</f>
        <v/>
      </c>
      <c r="F46" s="37">
        <f>_xlfn.XLOOKUP(C46,Articles!$A$2:$A$232,Articles!$C$2:$C$232,"",0)</f>
        <v/>
      </c>
    </row>
    <row r="47">
      <c r="B47" s="36" t="n">
        <v>46</v>
      </c>
      <c r="C47">
        <f>_xlfn.XLOOKUP(B47,Calc!$A$128:$A$545,Calc!$G$128:$G$545,"",0)</f>
        <v/>
      </c>
      <c r="D47">
        <f>_xlfn.XLOOKUP(B47,Calc!$A$128:$A$545,Calc!$H$128:$H$545,"",0)</f>
        <v/>
      </c>
      <c r="E47">
        <f>_xlfn.XLOOKUP(B47,Calc!$A$128:$A$545,Calc!$C$128:$C$545,"",0)</f>
        <v/>
      </c>
      <c r="F47" s="37">
        <f>_xlfn.XLOOKUP(C47,Articles!$A$2:$A$232,Articles!$C$2:$C$232,"",0)</f>
        <v/>
      </c>
    </row>
    <row r="48">
      <c r="B48" s="36" t="n">
        <v>47</v>
      </c>
      <c r="C48">
        <f>_xlfn.XLOOKUP(B48,Calc!$A$128:$A$545,Calc!$G$128:$G$545,"",0)</f>
        <v/>
      </c>
      <c r="D48">
        <f>_xlfn.XLOOKUP(B48,Calc!$A$128:$A$545,Calc!$H$128:$H$545,"",0)</f>
        <v/>
      </c>
      <c r="E48">
        <f>_xlfn.XLOOKUP(B48,Calc!$A$128:$A$545,Calc!$C$128:$C$545,"",0)</f>
        <v/>
      </c>
      <c r="F48" s="37">
        <f>_xlfn.XLOOKUP(C48,Articles!$A$2:$A$232,Articles!$C$2:$C$232,"",0)</f>
        <v/>
      </c>
    </row>
    <row r="49">
      <c r="B49" s="36" t="n">
        <v>48</v>
      </c>
      <c r="C49">
        <f>_xlfn.XLOOKUP(B49,Calc!$A$128:$A$545,Calc!$G$128:$G$545,"",0)</f>
        <v/>
      </c>
      <c r="D49">
        <f>_xlfn.XLOOKUP(B49,Calc!$A$128:$A$545,Calc!$H$128:$H$545,"",0)</f>
        <v/>
      </c>
      <c r="E49">
        <f>_xlfn.XLOOKUP(B49,Calc!$A$128:$A$545,Calc!$C$128:$C$545,"",0)</f>
        <v/>
      </c>
      <c r="F49" s="37">
        <f>_xlfn.XLOOKUP(C49,Articles!$A$2:$A$232,Articles!$C$2:$C$232,"",0)</f>
        <v/>
      </c>
    </row>
    <row r="50">
      <c r="B50" s="36" t="n">
        <v>49</v>
      </c>
      <c r="C50">
        <f>_xlfn.XLOOKUP(B50,Calc!$A$128:$A$545,Calc!$G$128:$G$545,"",0)</f>
        <v/>
      </c>
      <c r="D50">
        <f>_xlfn.XLOOKUP(B50,Calc!$A$128:$A$545,Calc!$H$128:$H$545,"",0)</f>
        <v/>
      </c>
      <c r="E50">
        <f>_xlfn.XLOOKUP(B50,Calc!$A$128:$A$545,Calc!$C$128:$C$545,"",0)</f>
        <v/>
      </c>
      <c r="F50" s="37">
        <f>_xlfn.XLOOKUP(C50,Articles!$A$2:$A$232,Articles!$C$2:$C$232,"",0)</f>
        <v/>
      </c>
    </row>
    <row r="51">
      <c r="B51" s="36" t="n">
        <v>50</v>
      </c>
      <c r="C51">
        <f>_xlfn.XLOOKUP(B51,Calc!$A$128:$A$545,Calc!$G$128:$G$545,"",0)</f>
        <v/>
      </c>
      <c r="D51">
        <f>_xlfn.XLOOKUP(B51,Calc!$A$128:$A$545,Calc!$H$128:$H$545,"",0)</f>
        <v/>
      </c>
      <c r="E51">
        <f>_xlfn.XLOOKUP(B51,Calc!$A$128:$A$545,Calc!$C$128:$C$545,"",0)</f>
        <v/>
      </c>
      <c r="F51" s="37">
        <f>_xlfn.XLOOKUP(C51,Articles!$A$2:$A$232,Articles!$C$2:$C$232,"",0)</f>
        <v/>
      </c>
    </row>
    <row r="52">
      <c r="B52" s="36" t="n">
        <v>51</v>
      </c>
      <c r="C52">
        <f>_xlfn.XLOOKUP(B52,Calc!$A$128:$A$545,Calc!$G$128:$G$545,"",0)</f>
        <v/>
      </c>
      <c r="D52">
        <f>_xlfn.XLOOKUP(B52,Calc!$A$128:$A$545,Calc!$H$128:$H$545,"",0)</f>
        <v/>
      </c>
      <c r="E52">
        <f>_xlfn.XLOOKUP(B52,Calc!$A$128:$A$545,Calc!$C$128:$C$545,"",0)</f>
        <v/>
      </c>
      <c r="F52" s="37">
        <f>_xlfn.XLOOKUP(C52,Articles!$A$2:$A$232,Articles!$C$2:$C$232,"",0)</f>
        <v/>
      </c>
    </row>
    <row r="53">
      <c r="B53" s="36" t="n">
        <v>52</v>
      </c>
      <c r="C53">
        <f>_xlfn.XLOOKUP(B53,Calc!$A$128:$A$545,Calc!$G$128:$G$545,"",0)</f>
        <v/>
      </c>
      <c r="D53">
        <f>_xlfn.XLOOKUP(B53,Calc!$A$128:$A$545,Calc!$H$128:$H$545,"",0)</f>
        <v/>
      </c>
      <c r="E53">
        <f>_xlfn.XLOOKUP(B53,Calc!$A$128:$A$545,Calc!$C$128:$C$545,"",0)</f>
        <v/>
      </c>
      <c r="F53" s="37">
        <f>_xlfn.XLOOKUP(C53,Articles!$A$2:$A$232,Articles!$C$2:$C$232,"",0)</f>
        <v/>
      </c>
    </row>
    <row r="54">
      <c r="B54" s="36" t="n">
        <v>53</v>
      </c>
      <c r="C54">
        <f>_xlfn.XLOOKUP(B54,Calc!$A$128:$A$545,Calc!$G$128:$G$545,"",0)</f>
        <v/>
      </c>
      <c r="D54">
        <f>_xlfn.XLOOKUP(B54,Calc!$A$128:$A$545,Calc!$H$128:$H$545,"",0)</f>
        <v/>
      </c>
      <c r="E54">
        <f>_xlfn.XLOOKUP(B54,Calc!$A$128:$A$545,Calc!$C$128:$C$545,"",0)</f>
        <v/>
      </c>
      <c r="F54" s="37">
        <f>_xlfn.XLOOKUP(C54,Articles!$A$2:$A$232,Articles!$C$2:$C$232,"",0)</f>
        <v/>
      </c>
    </row>
    <row r="55">
      <c r="B55" s="36" t="n">
        <v>54</v>
      </c>
      <c r="C55">
        <f>_xlfn.XLOOKUP(B55,Calc!$A$128:$A$545,Calc!$G$128:$G$545,"",0)</f>
        <v/>
      </c>
      <c r="D55">
        <f>_xlfn.XLOOKUP(B55,Calc!$A$128:$A$545,Calc!$H$128:$H$545,"",0)</f>
        <v/>
      </c>
      <c r="E55">
        <f>_xlfn.XLOOKUP(B55,Calc!$A$128:$A$545,Calc!$C$128:$C$545,"",0)</f>
        <v/>
      </c>
      <c r="F55" s="37">
        <f>_xlfn.XLOOKUP(C55,Articles!$A$2:$A$232,Articles!$C$2:$C$232,"",0)</f>
        <v/>
      </c>
    </row>
    <row r="56">
      <c r="B56" s="36" t="n">
        <v>55</v>
      </c>
      <c r="C56">
        <f>_xlfn.XLOOKUP(B56,Calc!$A$128:$A$545,Calc!$G$128:$G$545,"",0)</f>
        <v/>
      </c>
      <c r="D56">
        <f>_xlfn.XLOOKUP(B56,Calc!$A$128:$A$545,Calc!$H$128:$H$545,"",0)</f>
        <v/>
      </c>
      <c r="E56">
        <f>_xlfn.XLOOKUP(B56,Calc!$A$128:$A$545,Calc!$C$128:$C$545,"",0)</f>
        <v/>
      </c>
      <c r="F56" s="37">
        <f>_xlfn.XLOOKUP(C56,Articles!$A$2:$A$232,Articles!$C$2:$C$232,"",0)</f>
        <v/>
      </c>
    </row>
    <row r="57">
      <c r="B57" s="36" t="n">
        <v>56</v>
      </c>
      <c r="C57">
        <f>_xlfn.XLOOKUP(B57,Calc!$A$128:$A$545,Calc!$G$128:$G$545,"",0)</f>
        <v/>
      </c>
      <c r="D57">
        <f>_xlfn.XLOOKUP(B57,Calc!$A$128:$A$545,Calc!$H$128:$H$545,"",0)</f>
        <v/>
      </c>
      <c r="E57">
        <f>_xlfn.XLOOKUP(B57,Calc!$A$128:$A$545,Calc!$C$128:$C$545,"",0)</f>
        <v/>
      </c>
      <c r="F57" s="37">
        <f>_xlfn.XLOOKUP(C57,Articles!$A$2:$A$232,Articles!$C$2:$C$232,"",0)</f>
        <v/>
      </c>
    </row>
    <row r="58">
      <c r="B58" s="36" t="n">
        <v>57</v>
      </c>
      <c r="C58">
        <f>_xlfn.XLOOKUP(B58,Calc!$A$128:$A$545,Calc!$G$128:$G$545,"",0)</f>
        <v/>
      </c>
      <c r="D58">
        <f>_xlfn.XLOOKUP(B58,Calc!$A$128:$A$545,Calc!$H$128:$H$545,"",0)</f>
        <v/>
      </c>
      <c r="E58">
        <f>_xlfn.XLOOKUP(B58,Calc!$A$128:$A$545,Calc!$C$128:$C$545,"",0)</f>
        <v/>
      </c>
      <c r="F58" s="37">
        <f>_xlfn.XLOOKUP(C58,Articles!$A$2:$A$232,Articles!$C$2:$C$232,"",0)</f>
        <v/>
      </c>
    </row>
    <row r="59">
      <c r="B59" s="36" t="n">
        <v>58</v>
      </c>
      <c r="C59">
        <f>_xlfn.XLOOKUP(B59,Calc!$A$128:$A$545,Calc!$G$128:$G$545,"",0)</f>
        <v/>
      </c>
      <c r="D59">
        <f>_xlfn.XLOOKUP(B59,Calc!$A$128:$A$545,Calc!$H$128:$H$545,"",0)</f>
        <v/>
      </c>
      <c r="E59">
        <f>_xlfn.XLOOKUP(B59,Calc!$A$128:$A$545,Calc!$C$128:$C$545,"",0)</f>
        <v/>
      </c>
      <c r="F59" s="37">
        <f>_xlfn.XLOOKUP(C59,Articles!$A$2:$A$232,Articles!$C$2:$C$232,"",0)</f>
        <v/>
      </c>
    </row>
    <row r="60">
      <c r="B60" s="36" t="n">
        <v>59</v>
      </c>
      <c r="C60">
        <f>_xlfn.XLOOKUP(B60,Calc!$A$128:$A$545,Calc!$G$128:$G$545,"",0)</f>
        <v/>
      </c>
      <c r="D60">
        <f>_xlfn.XLOOKUP(B60,Calc!$A$128:$A$545,Calc!$H$128:$H$545,"",0)</f>
        <v/>
      </c>
      <c r="E60">
        <f>_xlfn.XLOOKUP(B60,Calc!$A$128:$A$545,Calc!$C$128:$C$545,"",0)</f>
        <v/>
      </c>
      <c r="F60" s="37">
        <f>_xlfn.XLOOKUP(C60,Articles!$A$2:$A$232,Articles!$C$2:$C$232,"",0)</f>
        <v/>
      </c>
    </row>
    <row r="61">
      <c r="B61" s="36" t="n">
        <v>60</v>
      </c>
      <c r="C61">
        <f>_xlfn.XLOOKUP(B61,Calc!$A$128:$A$545,Calc!$G$128:$G$545,"",0)</f>
        <v/>
      </c>
      <c r="D61">
        <f>_xlfn.XLOOKUP(B61,Calc!$A$128:$A$545,Calc!$H$128:$H$545,"",0)</f>
        <v/>
      </c>
      <c r="E61">
        <f>_xlfn.XLOOKUP(B61,Calc!$A$128:$A$545,Calc!$C$128:$C$545,"",0)</f>
        <v/>
      </c>
      <c r="F61" s="37">
        <f>_xlfn.XLOOKUP(C61,Articles!$A$2:$A$232,Articles!$C$2:$C$232,"",0)</f>
        <v/>
      </c>
    </row>
    <row r="62">
      <c r="B62" s="36" t="n">
        <v>61</v>
      </c>
      <c r="C62">
        <f>_xlfn.XLOOKUP(B62,Calc!$A$128:$A$545,Calc!$G$128:$G$545,"",0)</f>
        <v/>
      </c>
      <c r="D62">
        <f>_xlfn.XLOOKUP(B62,Calc!$A$128:$A$545,Calc!$H$128:$H$545,"",0)</f>
        <v/>
      </c>
      <c r="E62">
        <f>_xlfn.XLOOKUP(B62,Calc!$A$128:$A$545,Calc!$C$128:$C$545,"",0)</f>
        <v/>
      </c>
      <c r="F62" s="37">
        <f>_xlfn.XLOOKUP(C62,Articles!$A$2:$A$232,Articles!$C$2:$C$232,"",0)</f>
        <v/>
      </c>
    </row>
    <row r="63">
      <c r="B63" s="36" t="n">
        <v>62</v>
      </c>
      <c r="C63">
        <f>_xlfn.XLOOKUP(B63,Calc!$A$128:$A$545,Calc!$G$128:$G$545,"",0)</f>
        <v/>
      </c>
      <c r="D63">
        <f>_xlfn.XLOOKUP(B63,Calc!$A$128:$A$545,Calc!$H$128:$H$545,"",0)</f>
        <v/>
      </c>
      <c r="E63">
        <f>_xlfn.XLOOKUP(B63,Calc!$A$128:$A$545,Calc!$C$128:$C$545,"",0)</f>
        <v/>
      </c>
      <c r="F63" s="37">
        <f>_xlfn.XLOOKUP(C63,Articles!$A$2:$A$232,Articles!$C$2:$C$232,"",0)</f>
        <v/>
      </c>
    </row>
    <row r="64">
      <c r="B64" s="36" t="n">
        <v>63</v>
      </c>
      <c r="C64">
        <f>_xlfn.XLOOKUP(B64,Calc!$A$128:$A$545,Calc!$G$128:$G$545,"",0)</f>
        <v/>
      </c>
      <c r="D64">
        <f>_xlfn.XLOOKUP(B64,Calc!$A$128:$A$545,Calc!$H$128:$H$545,"",0)</f>
        <v/>
      </c>
      <c r="E64">
        <f>_xlfn.XLOOKUP(B64,Calc!$A$128:$A$545,Calc!$C$128:$C$545,"",0)</f>
        <v/>
      </c>
      <c r="F64" s="37">
        <f>_xlfn.XLOOKUP(C64,Articles!$A$2:$A$232,Articles!$C$2:$C$232,"",0)</f>
        <v/>
      </c>
    </row>
    <row r="65">
      <c r="B65" s="36" t="n">
        <v>64</v>
      </c>
      <c r="C65">
        <f>_xlfn.XLOOKUP(B65,Calc!$A$128:$A$545,Calc!$G$128:$G$545,"",0)</f>
        <v/>
      </c>
      <c r="D65">
        <f>_xlfn.XLOOKUP(B65,Calc!$A$128:$A$545,Calc!$H$128:$H$545,"",0)</f>
        <v/>
      </c>
      <c r="E65">
        <f>_xlfn.XLOOKUP(B65,Calc!$A$128:$A$545,Calc!$C$128:$C$545,"",0)</f>
        <v/>
      </c>
      <c r="F65" s="37">
        <f>_xlfn.XLOOKUP(C65,Articles!$A$2:$A$232,Articles!$C$2:$C$232,"",0)</f>
        <v/>
      </c>
    </row>
    <row r="66">
      <c r="B66" s="36" t="n">
        <v>65</v>
      </c>
      <c r="C66">
        <f>_xlfn.XLOOKUP(B66,Calc!$A$128:$A$545,Calc!$G$128:$G$545,"",0)</f>
        <v/>
      </c>
      <c r="D66">
        <f>_xlfn.XLOOKUP(B66,Calc!$A$128:$A$545,Calc!$H$128:$H$545,"",0)</f>
        <v/>
      </c>
      <c r="E66">
        <f>_xlfn.XLOOKUP(B66,Calc!$A$128:$A$545,Calc!$C$128:$C$545,"",0)</f>
        <v/>
      </c>
      <c r="F66" s="37">
        <f>_xlfn.XLOOKUP(C66,Articles!$A$2:$A$232,Articles!$C$2:$C$232,"",0)</f>
        <v/>
      </c>
    </row>
    <row r="67">
      <c r="B67" s="36" t="n">
        <v>66</v>
      </c>
      <c r="C67">
        <f>_xlfn.XLOOKUP(B67,Calc!$A$128:$A$545,Calc!$G$128:$G$545,"",0)</f>
        <v/>
      </c>
      <c r="D67">
        <f>_xlfn.XLOOKUP(B67,Calc!$A$128:$A$545,Calc!$H$128:$H$545,"",0)</f>
        <v/>
      </c>
      <c r="E67">
        <f>_xlfn.XLOOKUP(B67,Calc!$A$128:$A$545,Calc!$C$128:$C$545,"",0)</f>
        <v/>
      </c>
      <c r="F67" s="37">
        <f>_xlfn.XLOOKUP(C67,Articles!$A$2:$A$232,Articles!$C$2:$C$232,"",0)</f>
        <v/>
      </c>
    </row>
    <row r="68">
      <c r="B68" s="36" t="n">
        <v>67</v>
      </c>
      <c r="C68">
        <f>_xlfn.XLOOKUP(B68,Calc!$A$128:$A$545,Calc!$G$128:$G$545,"",0)</f>
        <v/>
      </c>
      <c r="D68">
        <f>_xlfn.XLOOKUP(B68,Calc!$A$128:$A$545,Calc!$H$128:$H$545,"",0)</f>
        <v/>
      </c>
      <c r="E68">
        <f>_xlfn.XLOOKUP(B68,Calc!$A$128:$A$545,Calc!$C$128:$C$545,"",0)</f>
        <v/>
      </c>
      <c r="F68" s="37">
        <f>_xlfn.XLOOKUP(C68,Articles!$A$2:$A$232,Articles!$C$2:$C$232,"",0)</f>
        <v/>
      </c>
    </row>
    <row r="69">
      <c r="B69" s="36" t="n">
        <v>68</v>
      </c>
      <c r="C69">
        <f>_xlfn.XLOOKUP(B69,Calc!$A$128:$A$545,Calc!$G$128:$G$545,"",0)</f>
        <v/>
      </c>
      <c r="D69">
        <f>_xlfn.XLOOKUP(B69,Calc!$A$128:$A$545,Calc!$H$128:$H$545,"",0)</f>
        <v/>
      </c>
      <c r="E69">
        <f>_xlfn.XLOOKUP(B69,Calc!$A$128:$A$545,Calc!$C$128:$C$545,"",0)</f>
        <v/>
      </c>
      <c r="F69" s="37">
        <f>_xlfn.XLOOKUP(C69,Articles!$A$2:$A$232,Articles!$C$2:$C$232,"",0)</f>
        <v/>
      </c>
    </row>
    <row r="70">
      <c r="B70" s="36" t="n">
        <v>69</v>
      </c>
      <c r="C70">
        <f>_xlfn.XLOOKUP(B70,Calc!$A$128:$A$545,Calc!$G$128:$G$545,"",0)</f>
        <v/>
      </c>
      <c r="D70">
        <f>_xlfn.XLOOKUP(B70,Calc!$A$128:$A$545,Calc!$H$128:$H$545,"",0)</f>
        <v/>
      </c>
      <c r="E70">
        <f>_xlfn.XLOOKUP(B70,Calc!$A$128:$A$545,Calc!$C$128:$C$545,"",0)</f>
        <v/>
      </c>
      <c r="F70" s="37">
        <f>_xlfn.XLOOKUP(C70,Articles!$A$2:$A$232,Articles!$C$2:$C$232,"",0)</f>
        <v/>
      </c>
    </row>
    <row r="71">
      <c r="B71" s="36" t="n">
        <v>70</v>
      </c>
      <c r="C71">
        <f>_xlfn.XLOOKUP(B71,Calc!$A$128:$A$545,Calc!$G$128:$G$545,"",0)</f>
        <v/>
      </c>
      <c r="D71">
        <f>_xlfn.XLOOKUP(B71,Calc!$A$128:$A$545,Calc!$H$128:$H$545,"",0)</f>
        <v/>
      </c>
      <c r="E71">
        <f>_xlfn.XLOOKUP(B71,Calc!$A$128:$A$545,Calc!$C$128:$C$545,"",0)</f>
        <v/>
      </c>
      <c r="F71" s="37">
        <f>_xlfn.XLOOKUP(C71,Articles!$A$2:$A$232,Articles!$C$2:$C$232,"",0)</f>
        <v/>
      </c>
    </row>
    <row r="72">
      <c r="B72" s="36" t="n">
        <v>71</v>
      </c>
      <c r="C72">
        <f>_xlfn.XLOOKUP(B72,Calc!$A$128:$A$545,Calc!$G$128:$G$545,"",0)</f>
        <v/>
      </c>
      <c r="D72">
        <f>_xlfn.XLOOKUP(B72,Calc!$A$128:$A$545,Calc!$H$128:$H$545,"",0)</f>
        <v/>
      </c>
      <c r="E72">
        <f>_xlfn.XLOOKUP(B72,Calc!$A$128:$A$545,Calc!$C$128:$C$545,"",0)</f>
        <v/>
      </c>
      <c r="F72" s="37">
        <f>_xlfn.XLOOKUP(C72,Articles!$A$2:$A$232,Articles!$C$2:$C$232,"",0)</f>
        <v/>
      </c>
    </row>
    <row r="73">
      <c r="B73" s="36" t="n">
        <v>72</v>
      </c>
      <c r="C73">
        <f>_xlfn.XLOOKUP(B73,Calc!$A$128:$A$545,Calc!$G$128:$G$545,"",0)</f>
        <v/>
      </c>
      <c r="D73">
        <f>_xlfn.XLOOKUP(B73,Calc!$A$128:$A$545,Calc!$H$128:$H$545,"",0)</f>
        <v/>
      </c>
      <c r="E73">
        <f>_xlfn.XLOOKUP(B73,Calc!$A$128:$A$545,Calc!$C$128:$C$545,"",0)</f>
        <v/>
      </c>
      <c r="F73" s="37">
        <f>_xlfn.XLOOKUP(C73,Articles!$A$2:$A$232,Articles!$C$2:$C$232,"",0)</f>
        <v/>
      </c>
    </row>
    <row r="74">
      <c r="B74" s="36" t="n">
        <v>73</v>
      </c>
      <c r="C74">
        <f>_xlfn.XLOOKUP(B74,Calc!$A$128:$A$545,Calc!$G$128:$G$545,"",0)</f>
        <v/>
      </c>
      <c r="D74">
        <f>_xlfn.XLOOKUP(B74,Calc!$A$128:$A$545,Calc!$H$128:$H$545,"",0)</f>
        <v/>
      </c>
      <c r="E74">
        <f>_xlfn.XLOOKUP(B74,Calc!$A$128:$A$545,Calc!$C$128:$C$545,"",0)</f>
        <v/>
      </c>
      <c r="F74" s="37">
        <f>_xlfn.XLOOKUP(C74,Articles!$A$2:$A$232,Articles!$C$2:$C$232,"",0)</f>
        <v/>
      </c>
    </row>
    <row r="75">
      <c r="B75" s="36" t="n">
        <v>74</v>
      </c>
      <c r="C75">
        <f>_xlfn.XLOOKUP(B75,Calc!$A$128:$A$545,Calc!$G$128:$G$545,"",0)</f>
        <v/>
      </c>
      <c r="D75">
        <f>_xlfn.XLOOKUP(B75,Calc!$A$128:$A$545,Calc!$H$128:$H$545,"",0)</f>
        <v/>
      </c>
      <c r="E75">
        <f>_xlfn.XLOOKUP(B75,Calc!$A$128:$A$545,Calc!$C$128:$C$545,"",0)</f>
        <v/>
      </c>
      <c r="F75" s="37">
        <f>_xlfn.XLOOKUP(C75,Articles!$A$2:$A$232,Articles!$C$2:$C$232,"",0)</f>
        <v/>
      </c>
    </row>
    <row r="76">
      <c r="B76" s="36" t="n">
        <v>75</v>
      </c>
      <c r="C76">
        <f>_xlfn.XLOOKUP(B76,Calc!$A$128:$A$545,Calc!$G$128:$G$545,"",0)</f>
        <v/>
      </c>
      <c r="D76">
        <f>_xlfn.XLOOKUP(B76,Calc!$A$128:$A$545,Calc!$H$128:$H$545,"",0)</f>
        <v/>
      </c>
      <c r="E76">
        <f>_xlfn.XLOOKUP(B76,Calc!$A$128:$A$545,Calc!$C$128:$C$545,"",0)</f>
        <v/>
      </c>
      <c r="F76" s="37">
        <f>_xlfn.XLOOKUP(C76,Articles!$A$2:$A$232,Articles!$C$2:$C$232,"",0)</f>
        <v/>
      </c>
    </row>
    <row r="77">
      <c r="B77" s="36" t="n">
        <v>76</v>
      </c>
      <c r="C77">
        <f>_xlfn.XLOOKUP(B77,Calc!$A$128:$A$545,Calc!$G$128:$G$545,"",0)</f>
        <v/>
      </c>
      <c r="D77">
        <f>_xlfn.XLOOKUP(B77,Calc!$A$128:$A$545,Calc!$H$128:$H$545,"",0)</f>
        <v/>
      </c>
      <c r="E77">
        <f>_xlfn.XLOOKUP(B77,Calc!$A$128:$A$545,Calc!$C$128:$C$545,"",0)</f>
        <v/>
      </c>
      <c r="F77" s="37">
        <f>_xlfn.XLOOKUP(C77,Articles!$A$2:$A$232,Articles!$C$2:$C$232,"",0)</f>
        <v/>
      </c>
    </row>
    <row r="78">
      <c r="B78" s="36" t="n">
        <v>77</v>
      </c>
      <c r="C78">
        <f>_xlfn.XLOOKUP(B78,Calc!$A$128:$A$545,Calc!$G$128:$G$545,"",0)</f>
        <v/>
      </c>
      <c r="D78">
        <f>_xlfn.XLOOKUP(B78,Calc!$A$128:$A$545,Calc!$H$128:$H$545,"",0)</f>
        <v/>
      </c>
      <c r="E78">
        <f>_xlfn.XLOOKUP(B78,Calc!$A$128:$A$545,Calc!$C$128:$C$545,"",0)</f>
        <v/>
      </c>
      <c r="F78" s="37">
        <f>_xlfn.XLOOKUP(C78,Articles!$A$2:$A$232,Articles!$C$2:$C$232,"",0)</f>
        <v/>
      </c>
    </row>
    <row r="79">
      <c r="B79" s="36" t="n">
        <v>78</v>
      </c>
      <c r="C79">
        <f>_xlfn.XLOOKUP(B79,Calc!$A$128:$A$545,Calc!$G$128:$G$545,"",0)</f>
        <v/>
      </c>
      <c r="D79">
        <f>_xlfn.XLOOKUP(B79,Calc!$A$128:$A$545,Calc!$H$128:$H$545,"",0)</f>
        <v/>
      </c>
      <c r="E79">
        <f>_xlfn.XLOOKUP(B79,Calc!$A$128:$A$545,Calc!$C$128:$C$545,"",0)</f>
        <v/>
      </c>
      <c r="F79" s="37">
        <f>_xlfn.XLOOKUP(C79,Articles!$A$2:$A$232,Articles!$C$2:$C$232,"",0)</f>
        <v/>
      </c>
    </row>
    <row r="80">
      <c r="B80" s="36" t="n">
        <v>79</v>
      </c>
      <c r="C80">
        <f>_xlfn.XLOOKUP(B80,Calc!$A$128:$A$545,Calc!$G$128:$G$545,"",0)</f>
        <v/>
      </c>
      <c r="D80">
        <f>_xlfn.XLOOKUP(B80,Calc!$A$128:$A$545,Calc!$H$128:$H$545,"",0)</f>
        <v/>
      </c>
      <c r="E80">
        <f>_xlfn.XLOOKUP(B80,Calc!$A$128:$A$545,Calc!$C$128:$C$545,"",0)</f>
        <v/>
      </c>
      <c r="F80" s="37">
        <f>_xlfn.XLOOKUP(C80,Articles!$A$2:$A$232,Articles!$C$2:$C$232,"",0)</f>
        <v/>
      </c>
    </row>
    <row r="81">
      <c r="B81" s="36" t="n">
        <v>80</v>
      </c>
      <c r="C81">
        <f>_xlfn.XLOOKUP(B81,Calc!$A$128:$A$545,Calc!$G$128:$G$545,"",0)</f>
        <v/>
      </c>
      <c r="D81">
        <f>_xlfn.XLOOKUP(B81,Calc!$A$128:$A$545,Calc!$H$128:$H$545,"",0)</f>
        <v/>
      </c>
      <c r="E81">
        <f>_xlfn.XLOOKUP(B81,Calc!$A$128:$A$545,Calc!$C$128:$C$545,"",0)</f>
        <v/>
      </c>
      <c r="F81" s="37">
        <f>_xlfn.XLOOKUP(C81,Articles!$A$2:$A$232,Articles!$C$2:$C$232,"",0)</f>
        <v/>
      </c>
    </row>
    <row r="82">
      <c r="B82" s="36" t="n">
        <v>81</v>
      </c>
      <c r="C82">
        <f>_xlfn.XLOOKUP(B82,Calc!$A$128:$A$545,Calc!$G$128:$G$545,"",0)</f>
        <v/>
      </c>
      <c r="D82">
        <f>_xlfn.XLOOKUP(B82,Calc!$A$128:$A$545,Calc!$H$128:$H$545,"",0)</f>
        <v/>
      </c>
      <c r="E82">
        <f>_xlfn.XLOOKUP(B82,Calc!$A$128:$A$545,Calc!$C$128:$C$545,"",0)</f>
        <v/>
      </c>
      <c r="F82" s="37">
        <f>_xlfn.XLOOKUP(C82,Articles!$A$2:$A$232,Articles!$C$2:$C$232,"",0)</f>
        <v/>
      </c>
    </row>
    <row r="83">
      <c r="B83" s="36" t="n">
        <v>82</v>
      </c>
      <c r="C83">
        <f>_xlfn.XLOOKUP(B83,Calc!$A$128:$A$545,Calc!$G$128:$G$545,"",0)</f>
        <v/>
      </c>
      <c r="D83">
        <f>_xlfn.XLOOKUP(B83,Calc!$A$128:$A$545,Calc!$H$128:$H$545,"",0)</f>
        <v/>
      </c>
      <c r="E83">
        <f>_xlfn.XLOOKUP(B83,Calc!$A$128:$A$545,Calc!$C$128:$C$545,"",0)</f>
        <v/>
      </c>
      <c r="F83" s="37">
        <f>_xlfn.XLOOKUP(C83,Articles!$A$2:$A$232,Articles!$C$2:$C$232,"",0)</f>
        <v/>
      </c>
    </row>
    <row r="84">
      <c r="B84" s="36" t="n">
        <v>83</v>
      </c>
      <c r="C84">
        <f>_xlfn.XLOOKUP(B84,Calc!$A$128:$A$545,Calc!$G$128:$G$545,"",0)</f>
        <v/>
      </c>
      <c r="D84">
        <f>_xlfn.XLOOKUP(B84,Calc!$A$128:$A$545,Calc!$H$128:$H$545,"",0)</f>
        <v/>
      </c>
      <c r="E84">
        <f>_xlfn.XLOOKUP(B84,Calc!$A$128:$A$545,Calc!$C$128:$C$545,"",0)</f>
        <v/>
      </c>
      <c r="F84" s="37">
        <f>_xlfn.XLOOKUP(C84,Articles!$A$2:$A$232,Articles!$C$2:$C$232,"",0)</f>
        <v/>
      </c>
    </row>
    <row r="85">
      <c r="B85" s="36" t="n">
        <v>84</v>
      </c>
      <c r="C85">
        <f>_xlfn.XLOOKUP(B85,Calc!$A$128:$A$545,Calc!$G$128:$G$545,"",0)</f>
        <v/>
      </c>
      <c r="D85">
        <f>_xlfn.XLOOKUP(B85,Calc!$A$128:$A$545,Calc!$H$128:$H$545,"",0)</f>
        <v/>
      </c>
      <c r="E85">
        <f>_xlfn.XLOOKUP(B85,Calc!$A$128:$A$545,Calc!$C$128:$C$545,"",0)</f>
        <v/>
      </c>
      <c r="F85" s="37">
        <f>_xlfn.XLOOKUP(C85,Articles!$A$2:$A$232,Articles!$C$2:$C$232,"",0)</f>
        <v/>
      </c>
    </row>
    <row r="86">
      <c r="B86" s="36" t="n">
        <v>85</v>
      </c>
      <c r="C86">
        <f>_xlfn.XLOOKUP(B86,Calc!$A$128:$A$545,Calc!$G$128:$G$545,"",0)</f>
        <v/>
      </c>
      <c r="D86">
        <f>_xlfn.XLOOKUP(B86,Calc!$A$128:$A$545,Calc!$H$128:$H$545,"",0)</f>
        <v/>
      </c>
      <c r="E86">
        <f>_xlfn.XLOOKUP(B86,Calc!$A$128:$A$545,Calc!$C$128:$C$545,"",0)</f>
        <v/>
      </c>
      <c r="F86" s="37">
        <f>_xlfn.XLOOKUP(C86,Articles!$A$2:$A$232,Articles!$C$2:$C$232,"",0)</f>
        <v/>
      </c>
    </row>
    <row r="87">
      <c r="B87" s="36" t="n">
        <v>86</v>
      </c>
      <c r="C87">
        <f>_xlfn.XLOOKUP(B87,Calc!$A$128:$A$545,Calc!$G$128:$G$545,"",0)</f>
        <v/>
      </c>
      <c r="D87">
        <f>_xlfn.XLOOKUP(B87,Calc!$A$128:$A$545,Calc!$H$128:$H$545,"",0)</f>
        <v/>
      </c>
      <c r="E87">
        <f>_xlfn.XLOOKUP(B87,Calc!$A$128:$A$545,Calc!$C$128:$C$545,"",0)</f>
        <v/>
      </c>
      <c r="F87" s="37">
        <f>_xlfn.XLOOKUP(C87,Articles!$A$2:$A$232,Articles!$C$2:$C$232,"",0)</f>
        <v/>
      </c>
    </row>
    <row r="88">
      <c r="B88" s="36" t="n">
        <v>87</v>
      </c>
      <c r="C88">
        <f>_xlfn.XLOOKUP(B88,Calc!$A$128:$A$545,Calc!$G$128:$G$545,"",0)</f>
        <v/>
      </c>
      <c r="D88">
        <f>_xlfn.XLOOKUP(B88,Calc!$A$128:$A$545,Calc!$H$128:$H$545,"",0)</f>
        <v/>
      </c>
      <c r="E88">
        <f>_xlfn.XLOOKUP(B88,Calc!$A$128:$A$545,Calc!$C$128:$C$545,"",0)</f>
        <v/>
      </c>
      <c r="F88" s="37">
        <f>_xlfn.XLOOKUP(C88,Articles!$A$2:$A$232,Articles!$C$2:$C$232,"",0)</f>
        <v/>
      </c>
    </row>
    <row r="89" ht="15.95" customHeight="1" thickBot="1">
      <c r="A89">
        <f>COUNT(E2:E89)</f>
        <v/>
      </c>
      <c r="B89" s="36" t="n">
        <v>88</v>
      </c>
      <c r="C89">
        <f>_xlfn.XLOOKUP(B89,Calc!$A$128:$A$545,Calc!$G$128:$G$545,"",0)</f>
        <v/>
      </c>
      <c r="D89">
        <f>_xlfn.XLOOKUP(B89,Calc!$A$128:$A$545,Calc!$H$128:$H$545,"",0)</f>
        <v/>
      </c>
      <c r="E89">
        <f>_xlfn.XLOOKUP(B89,Calc!$A$128:$A$545,Calc!$C$128:$C$545,"",0)</f>
        <v/>
      </c>
      <c r="F89" s="37">
        <f>_xlfn.XLOOKUP(C89,Articles!$A$2:$A$232,Articles!$C$2:$C$232,"",0)</f>
        <v/>
      </c>
    </row>
    <row r="90">
      <c r="A90">
        <f>$A$89+B90</f>
        <v/>
      </c>
      <c r="B90" s="33" t="n">
        <v>1</v>
      </c>
      <c r="C90" s="34">
        <f>_xlfn.XLOOKUP(B90,Fastening!$E$78:$E$107,Fastening!$A$78:$A$107,"",0)</f>
        <v/>
      </c>
      <c r="D90" s="34">
        <f>_xlfn.XLOOKUP(B90,Fastening!$E$78:$E$107,Fastening!$B$78:$B$107,"",0)</f>
        <v/>
      </c>
      <c r="E90" s="34">
        <f t="array" ref="E90">_xlfn.XLOOKUP(B90,Fastening!$E$78:$E$107,_xlfn.ANCHORARRAY(Fastening!$C$78),"",0)</f>
        <v/>
      </c>
      <c r="F90" s="35">
        <f>_xlfn.XLOOKUP(C90,Articles!$A$2:$A$232,Articles!$C$2:$C$232,"",0)</f>
        <v/>
      </c>
    </row>
    <row r="91">
      <c r="A91">
        <f>$A$89+B91</f>
        <v/>
      </c>
      <c r="B91" s="36" t="n">
        <v>2</v>
      </c>
      <c r="C91">
        <f>_xlfn.XLOOKUP(B91,Fastening!$E$78:$E$107,Fastening!$A$78:$A$107,"",0)</f>
        <v/>
      </c>
      <c r="D91">
        <f>_xlfn.XLOOKUP(B91,Fastening!$E$78:$E$107,Fastening!$B$78:$B$107,"",0)</f>
        <v/>
      </c>
      <c r="E91">
        <f t="array" ref="E91">_xlfn.XLOOKUP(B91,Fastening!$E$78:$E$107,_xlfn.ANCHORARRAY(Fastening!$C$78),"",0)</f>
        <v/>
      </c>
      <c r="F91" s="37">
        <f>_xlfn.XLOOKUP(C91,Articles!$A$2:$A$232,Articles!$C$2:$C$232,"",0)</f>
        <v/>
      </c>
    </row>
    <row r="92">
      <c r="A92">
        <f>$A$89+B92</f>
        <v/>
      </c>
      <c r="B92" s="36" t="n">
        <v>3</v>
      </c>
      <c r="C92">
        <f>_xlfn.XLOOKUP(B92,Fastening!$E$78:$E$107,Fastening!$A$78:$A$107,"",0)</f>
        <v/>
      </c>
      <c r="D92">
        <f>_xlfn.XLOOKUP(B92,Fastening!$E$78:$E$107,Fastening!$B$78:$B$107,"",0)</f>
        <v/>
      </c>
      <c r="E92">
        <f t="array" ref="E92">_xlfn.XLOOKUP(B92,Fastening!$E$78:$E$107,_xlfn.ANCHORARRAY(Fastening!$C$78),"",0)</f>
        <v/>
      </c>
      <c r="F92" s="37">
        <f>_xlfn.XLOOKUP(C92,Articles!$A$2:$A$232,Articles!$C$2:$C$232,"",0)</f>
        <v/>
      </c>
    </row>
    <row r="93">
      <c r="A93">
        <f>$A$89+B93</f>
        <v/>
      </c>
      <c r="B93" s="36" t="n">
        <v>4</v>
      </c>
      <c r="C93">
        <f>_xlfn.XLOOKUP(B93,Fastening!$E$78:$E$107,Fastening!$A$78:$A$107,"",0)</f>
        <v/>
      </c>
      <c r="D93">
        <f>_xlfn.XLOOKUP(B93,Fastening!$E$78:$E$107,Fastening!$B$78:$B$107,"",0)</f>
        <v/>
      </c>
      <c r="E93">
        <f t="array" ref="E93">_xlfn.XLOOKUP(B93,Fastening!$E$78:$E$107,_xlfn.ANCHORARRAY(Fastening!$C$78),"",0)</f>
        <v/>
      </c>
      <c r="F93" s="37">
        <f>_xlfn.XLOOKUP(C93,Articles!$A$2:$A$232,Articles!$C$2:$C$232,"",0)</f>
        <v/>
      </c>
    </row>
    <row r="94">
      <c r="A94">
        <f>$A$89+B94</f>
        <v/>
      </c>
      <c r="B94" s="36" t="n">
        <v>5</v>
      </c>
      <c r="C94">
        <f>_xlfn.XLOOKUP(B94,Fastening!$E$78:$E$107,Fastening!$A$78:$A$107,"",0)</f>
        <v/>
      </c>
      <c r="D94">
        <f>_xlfn.XLOOKUP(B94,Fastening!$E$78:$E$107,Fastening!$B$78:$B$107,"",0)</f>
        <v/>
      </c>
      <c r="E94">
        <f t="array" ref="E94">_xlfn.XLOOKUP(B94,Fastening!$E$78:$E$107,_xlfn.ANCHORARRAY(Fastening!$C$78),"",0)</f>
        <v/>
      </c>
      <c r="F94" s="37">
        <f>_xlfn.XLOOKUP(C94,Articles!$A$2:$A$232,Articles!$C$2:$C$232,"",0)</f>
        <v/>
      </c>
    </row>
    <row r="95">
      <c r="A95">
        <f>$A$89+B95</f>
        <v/>
      </c>
      <c r="B95" s="36" t="n">
        <v>6</v>
      </c>
      <c r="C95">
        <f>_xlfn.XLOOKUP(B95,Fastening!$E$78:$E$107,Fastening!$A$78:$A$107,"",0)</f>
        <v/>
      </c>
      <c r="D95">
        <f>_xlfn.XLOOKUP(B95,Fastening!$E$78:$E$107,Fastening!$B$78:$B$107,"",0)</f>
        <v/>
      </c>
      <c r="E95">
        <f t="array" ref="E95">_xlfn.XLOOKUP(B95,Fastening!$E$78:$E$107,_xlfn.ANCHORARRAY(Fastening!$C$78),"",0)</f>
        <v/>
      </c>
      <c r="F95" s="37">
        <f>_xlfn.XLOOKUP(C95,Articles!$A$2:$A$232,Articles!$C$2:$C$232,"",0)</f>
        <v/>
      </c>
    </row>
    <row r="96">
      <c r="A96">
        <f>$A$89+B96</f>
        <v/>
      </c>
      <c r="B96" s="36" t="n">
        <v>7</v>
      </c>
      <c r="C96">
        <f>_xlfn.XLOOKUP(B96,Fastening!$E$78:$E$107,Fastening!$A$78:$A$107,"",0)</f>
        <v/>
      </c>
      <c r="D96">
        <f>_xlfn.XLOOKUP(B96,Fastening!$E$78:$E$107,Fastening!$B$78:$B$107,"",0)</f>
        <v/>
      </c>
      <c r="E96">
        <f t="array" ref="E96">_xlfn.XLOOKUP(B96,Fastening!$E$78:$E$107,_xlfn.ANCHORARRAY(Fastening!$C$78),"",0)</f>
        <v/>
      </c>
      <c r="F96" s="37">
        <f>_xlfn.XLOOKUP(C96,Articles!$A$2:$A$232,Articles!$C$2:$C$232,"",0)</f>
        <v/>
      </c>
    </row>
    <row r="97">
      <c r="A97">
        <f>$A$89+B97</f>
        <v/>
      </c>
      <c r="B97" s="36" t="n">
        <v>8</v>
      </c>
      <c r="C97">
        <f>_xlfn.XLOOKUP(B97,Fastening!$E$78:$E$107,Fastening!$A$78:$A$107,"",0)</f>
        <v/>
      </c>
      <c r="D97">
        <f>_xlfn.XLOOKUP(B97,Fastening!$E$78:$E$107,Fastening!$B$78:$B$107,"",0)</f>
        <v/>
      </c>
      <c r="E97">
        <f t="array" ref="E97">_xlfn.XLOOKUP(B97,Fastening!$E$78:$E$107,_xlfn.ANCHORARRAY(Fastening!$C$78),"",0)</f>
        <v/>
      </c>
      <c r="F97" s="37">
        <f>_xlfn.XLOOKUP(C97,Articles!$A$2:$A$232,Articles!$C$2:$C$232,"",0)</f>
        <v/>
      </c>
    </row>
    <row r="98">
      <c r="A98">
        <f>$A$89+B98</f>
        <v/>
      </c>
      <c r="B98" s="36" t="n">
        <v>9</v>
      </c>
      <c r="C98">
        <f>_xlfn.XLOOKUP(B98,Fastening!$E$78:$E$107,Fastening!$A$78:$A$107,"",0)</f>
        <v/>
      </c>
      <c r="D98">
        <f>_xlfn.XLOOKUP(B98,Fastening!$E$78:$E$107,Fastening!$B$78:$B$107,"",0)</f>
        <v/>
      </c>
      <c r="E98">
        <f t="array" ref="E98">_xlfn.XLOOKUP(B98,Fastening!$E$78:$E$107,_xlfn.ANCHORARRAY(Fastening!$C$78),"",0)</f>
        <v/>
      </c>
      <c r="F98" s="37">
        <f>_xlfn.XLOOKUP(C98,Articles!$A$2:$A$232,Articles!$C$2:$C$232,"",0)</f>
        <v/>
      </c>
    </row>
    <row r="99">
      <c r="A99">
        <f>$A$89+B99</f>
        <v/>
      </c>
      <c r="B99" s="36" t="n">
        <v>10</v>
      </c>
      <c r="C99">
        <f>_xlfn.XLOOKUP(B99,Fastening!$E$78:$E$107,Fastening!$A$78:$A$107,"",0)</f>
        <v/>
      </c>
      <c r="D99">
        <f>_xlfn.XLOOKUP(B99,Fastening!$E$78:$E$107,Fastening!$B$78:$B$107,"",0)</f>
        <v/>
      </c>
      <c r="E99">
        <f t="array" ref="E99">_xlfn.XLOOKUP(B99,Fastening!$E$78:$E$107,_xlfn.ANCHORARRAY(Fastening!$C$78),"",0)</f>
        <v/>
      </c>
      <c r="F99" s="37">
        <f>_xlfn.XLOOKUP(C99,Articles!$A$2:$A$232,Articles!$C$2:$C$232,"",0)</f>
        <v/>
      </c>
    </row>
    <row r="100">
      <c r="A100">
        <f>$A$89+B100</f>
        <v/>
      </c>
      <c r="B100" s="36" t="n">
        <v>11</v>
      </c>
      <c r="C100">
        <f>_xlfn.XLOOKUP(B100,Fastening!$E$78:$E$107,Fastening!$A$78:$A$107,"",0)</f>
        <v/>
      </c>
      <c r="D100">
        <f>_xlfn.XLOOKUP(B100,Fastening!$E$78:$E$107,Fastening!$B$78:$B$107,"",0)</f>
        <v/>
      </c>
      <c r="E100">
        <f t="array" ref="E100">_xlfn.XLOOKUP(B100,Fastening!$E$78:$E$107,_xlfn.ANCHORARRAY(Fastening!$C$78),"",0)</f>
        <v/>
      </c>
      <c r="F100" s="37">
        <f>_xlfn.XLOOKUP(C100,Articles!$A$2:$A$232,Articles!$C$2:$C$232,"",0)</f>
        <v/>
      </c>
    </row>
    <row r="101">
      <c r="A101">
        <f>$A$89+B101</f>
        <v/>
      </c>
      <c r="B101" s="36" t="n">
        <v>12</v>
      </c>
      <c r="C101">
        <f>_xlfn.XLOOKUP(B101,Fastening!$E$78:$E$107,Fastening!$A$78:$A$107,"",0)</f>
        <v/>
      </c>
      <c r="D101">
        <f>_xlfn.XLOOKUP(B101,Fastening!$E$78:$E$107,Fastening!$B$78:$B$107,"",0)</f>
        <v/>
      </c>
      <c r="E101">
        <f t="array" ref="E101">_xlfn.XLOOKUP(B101,Fastening!$E$78:$E$107,_xlfn.ANCHORARRAY(Fastening!$C$78),"",0)</f>
        <v/>
      </c>
      <c r="F101" s="37">
        <f>_xlfn.XLOOKUP(C101,Articles!$A$2:$A$232,Articles!$C$2:$C$232,"",0)</f>
        <v/>
      </c>
    </row>
    <row r="102">
      <c r="A102">
        <f>$A$89+B102</f>
        <v/>
      </c>
      <c r="B102" s="36" t="n">
        <v>13</v>
      </c>
      <c r="C102">
        <f>_xlfn.XLOOKUP(B102,Fastening!$E$78:$E$107,Fastening!$A$78:$A$107,"",0)</f>
        <v/>
      </c>
      <c r="D102">
        <f>_xlfn.XLOOKUP(B102,Fastening!$E$78:$E$107,Fastening!$B$78:$B$107,"",0)</f>
        <v/>
      </c>
      <c r="E102">
        <f t="array" ref="E102">_xlfn.XLOOKUP(B102,Fastening!$E$78:$E$107,_xlfn.ANCHORARRAY(Fastening!$C$78),"",0)</f>
        <v/>
      </c>
      <c r="F102" s="37">
        <f>_xlfn.XLOOKUP(C102,Articles!$A$2:$A$232,Articles!$C$2:$C$232,"",0)</f>
        <v/>
      </c>
    </row>
    <row r="103">
      <c r="A103">
        <f>$A$89+B103</f>
        <v/>
      </c>
      <c r="B103" s="36" t="n">
        <v>14</v>
      </c>
      <c r="C103">
        <f>_xlfn.XLOOKUP(B103,Fastening!$E$78:$E$107,Fastening!$A$78:$A$107,"",0)</f>
        <v/>
      </c>
      <c r="D103">
        <f>_xlfn.XLOOKUP(B103,Fastening!$E$78:$E$107,Fastening!$B$78:$B$107,"",0)</f>
        <v/>
      </c>
      <c r="E103">
        <f t="array" ref="E103">_xlfn.XLOOKUP(B103,Fastening!$E$78:$E$107,_xlfn.ANCHORARRAY(Fastening!$C$78),"",0)</f>
        <v/>
      </c>
      <c r="F103" s="37">
        <f>_xlfn.XLOOKUP(C103,Articles!$A$2:$A$232,Articles!$C$2:$C$232,"",0)</f>
        <v/>
      </c>
    </row>
    <row r="104">
      <c r="A104">
        <f>$A$89+B104</f>
        <v/>
      </c>
      <c r="B104" s="36" t="n">
        <v>15</v>
      </c>
      <c r="C104">
        <f>_xlfn.XLOOKUP(B104,Fastening!$E$78:$E$107,Fastening!$A$78:$A$107,"",0)</f>
        <v/>
      </c>
      <c r="D104">
        <f>_xlfn.XLOOKUP(B104,Fastening!$E$78:$E$107,Fastening!$B$78:$B$107,"",0)</f>
        <v/>
      </c>
      <c r="E104">
        <f t="array" ref="E104">_xlfn.XLOOKUP(B104,Fastening!$E$78:$E$107,_xlfn.ANCHORARRAY(Fastening!$C$78),"",0)</f>
        <v/>
      </c>
      <c r="F104" s="37">
        <f>_xlfn.XLOOKUP(C104,Articles!$A$2:$A$232,Articles!$C$2:$C$232,"",0)</f>
        <v/>
      </c>
    </row>
    <row r="105">
      <c r="A105">
        <f>$A$89+B105</f>
        <v/>
      </c>
      <c r="B105" s="36" t="n">
        <v>16</v>
      </c>
      <c r="C105">
        <f>_xlfn.XLOOKUP(B105,Fastening!$E$78:$E$107,Fastening!$A$78:$A$107,"",0)</f>
        <v/>
      </c>
      <c r="D105">
        <f>_xlfn.XLOOKUP(B105,Fastening!$E$78:$E$107,Fastening!$B$78:$B$107,"",0)</f>
        <v/>
      </c>
      <c r="E105">
        <f t="array" ref="E105">_xlfn.XLOOKUP(B105,Fastening!$E$78:$E$107,_xlfn.ANCHORARRAY(Fastening!$C$78),"",0)</f>
        <v/>
      </c>
      <c r="F105" s="37">
        <f>_xlfn.XLOOKUP(C105,Articles!$A$2:$A$232,Articles!$C$2:$C$232,"",0)</f>
        <v/>
      </c>
    </row>
    <row r="106">
      <c r="A106">
        <f>$A$89+B106</f>
        <v/>
      </c>
      <c r="B106" s="36" t="n">
        <v>17</v>
      </c>
      <c r="C106">
        <f>_xlfn.XLOOKUP(B106,Fastening!$E$78:$E$107,Fastening!$A$78:$A$107,"",0)</f>
        <v/>
      </c>
      <c r="D106">
        <f>_xlfn.XLOOKUP(B106,Fastening!$E$78:$E$107,Fastening!$B$78:$B$107,"",0)</f>
        <v/>
      </c>
      <c r="E106">
        <f t="array" ref="E106">_xlfn.XLOOKUP(B106,Fastening!$E$78:$E$107,_xlfn.ANCHORARRAY(Fastening!$C$78),"",0)</f>
        <v/>
      </c>
      <c r="F106" s="37">
        <f>_xlfn.XLOOKUP(C106,Articles!$A$2:$A$232,Articles!$C$2:$C$232,"",0)</f>
        <v/>
      </c>
    </row>
    <row r="107">
      <c r="A107">
        <f>$A$89+B107</f>
        <v/>
      </c>
      <c r="B107" s="36" t="n">
        <v>18</v>
      </c>
      <c r="C107">
        <f>_xlfn.XLOOKUP(B107,Fastening!$E$78:$E$107,Fastening!$A$78:$A$107,"",0)</f>
        <v/>
      </c>
      <c r="D107">
        <f>_xlfn.XLOOKUP(B107,Fastening!$E$78:$E$107,Fastening!$B$78:$B$107,"",0)</f>
        <v/>
      </c>
      <c r="E107">
        <f t="array" ref="E107">_xlfn.XLOOKUP(B107,Fastening!$E$78:$E$107,_xlfn.ANCHORARRAY(Fastening!$C$78),"",0)</f>
        <v/>
      </c>
      <c r="F107" s="37">
        <f>_xlfn.XLOOKUP(C107,Articles!$A$2:$A$232,Articles!$C$2:$C$232,"",0)</f>
        <v/>
      </c>
    </row>
    <row r="108">
      <c r="A108">
        <f>$A$89+B108</f>
        <v/>
      </c>
      <c r="B108" s="36" t="n">
        <v>19</v>
      </c>
      <c r="C108">
        <f>_xlfn.XLOOKUP(B108,Fastening!$E$78:$E$107,Fastening!$A$78:$A$107,"",0)</f>
        <v/>
      </c>
      <c r="D108">
        <f>_xlfn.XLOOKUP(B108,Fastening!$E$78:$E$107,Fastening!$B$78:$B$107,"",0)</f>
        <v/>
      </c>
      <c r="E108">
        <f t="array" ref="E108">_xlfn.XLOOKUP(B108,Fastening!$E$78:$E$107,_xlfn.ANCHORARRAY(Fastening!$C$78),"",0)</f>
        <v/>
      </c>
      <c r="F108" s="37">
        <f>_xlfn.XLOOKUP(C108,Articles!$A$2:$A$232,Articles!$C$2:$C$232,"",0)</f>
        <v/>
      </c>
    </row>
    <row r="109">
      <c r="A109">
        <f>$A$89+B109</f>
        <v/>
      </c>
      <c r="B109" s="36" t="n">
        <v>20</v>
      </c>
      <c r="C109">
        <f>_xlfn.XLOOKUP(B109,Fastening!$E$78:$E$107,Fastening!$A$78:$A$107,"",0)</f>
        <v/>
      </c>
      <c r="D109">
        <f>_xlfn.XLOOKUP(B109,Fastening!$E$78:$E$107,Fastening!$B$78:$B$107,"",0)</f>
        <v/>
      </c>
      <c r="E109">
        <f t="array" ref="E109">_xlfn.XLOOKUP(B109,Fastening!$E$78:$E$107,_xlfn.ANCHORARRAY(Fastening!$C$78),"",0)</f>
        <v/>
      </c>
      <c r="F109" s="37">
        <f>_xlfn.XLOOKUP(C109,Articles!$A$2:$A$232,Articles!$C$2:$C$232,"",0)</f>
        <v/>
      </c>
    </row>
    <row r="110">
      <c r="A110">
        <f>$A$89+B110</f>
        <v/>
      </c>
      <c r="B110" s="36" t="n">
        <v>21</v>
      </c>
      <c r="C110">
        <f>_xlfn.XLOOKUP(B110,Fastening!$E$78:$E$107,Fastening!$A$78:$A$107,"",0)</f>
        <v/>
      </c>
      <c r="D110">
        <f>_xlfn.XLOOKUP(B110,Fastening!$E$78:$E$107,Fastening!$B$78:$B$107,"",0)</f>
        <v/>
      </c>
      <c r="E110">
        <f t="array" ref="E110">_xlfn.XLOOKUP(B110,Fastening!$E$78:$E$107,_xlfn.ANCHORARRAY(Fastening!$C$78),"",0)</f>
        <v/>
      </c>
      <c r="F110" s="37">
        <f>_xlfn.XLOOKUP(C110,Articles!$A$2:$A$232,Articles!$C$2:$C$232,"",0)</f>
        <v/>
      </c>
    </row>
    <row r="111">
      <c r="A111">
        <f>$A$89+B111</f>
        <v/>
      </c>
      <c r="B111" s="36" t="n">
        <v>22</v>
      </c>
      <c r="C111">
        <f>_xlfn.XLOOKUP(B111,Fastening!$E$78:$E$107,Fastening!$A$78:$A$107,"",0)</f>
        <v/>
      </c>
      <c r="D111">
        <f>_xlfn.XLOOKUP(B111,Fastening!$E$78:$E$107,Fastening!$B$78:$B$107,"",0)</f>
        <v/>
      </c>
      <c r="E111">
        <f t="array" ref="E111">_xlfn.XLOOKUP(B111,Fastening!$E$78:$E$107,_xlfn.ANCHORARRAY(Fastening!$C$78),"",0)</f>
        <v/>
      </c>
      <c r="F111" s="37">
        <f>_xlfn.XLOOKUP(C111,Articles!$A$2:$A$232,Articles!$C$2:$C$232,"",0)</f>
        <v/>
      </c>
    </row>
    <row r="112">
      <c r="A112">
        <f>$A$89+B112</f>
        <v/>
      </c>
      <c r="B112" s="36" t="n">
        <v>23</v>
      </c>
      <c r="C112">
        <f>_xlfn.XLOOKUP(B112,Fastening!$E$78:$E$107,Fastening!$A$78:$A$107,"",0)</f>
        <v/>
      </c>
      <c r="D112">
        <f>_xlfn.XLOOKUP(B112,Fastening!$E$78:$E$107,Fastening!$B$78:$B$107,"",0)</f>
        <v/>
      </c>
      <c r="E112">
        <f t="array" ref="E112">_xlfn.XLOOKUP(B112,Fastening!$E$78:$E$107,_xlfn.ANCHORARRAY(Fastening!$C$78),"",0)</f>
        <v/>
      </c>
      <c r="F112" s="37">
        <f>_xlfn.XLOOKUP(C112,Articles!$A$2:$A$232,Articles!$C$2:$C$232,"",0)</f>
        <v/>
      </c>
    </row>
    <row r="113">
      <c r="A113">
        <f>$A$89+B113</f>
        <v/>
      </c>
      <c r="B113" s="36" t="n">
        <v>24</v>
      </c>
      <c r="C113">
        <f>_xlfn.XLOOKUP(B113,Fastening!$E$78:$E$107,Fastening!$A$78:$A$107,"",0)</f>
        <v/>
      </c>
      <c r="D113">
        <f>_xlfn.XLOOKUP(B113,Fastening!$E$78:$E$107,Fastening!$B$78:$B$107,"",0)</f>
        <v/>
      </c>
      <c r="E113">
        <f t="array" ref="E113">_xlfn.XLOOKUP(B113,Fastening!$E$78:$E$107,_xlfn.ANCHORARRAY(Fastening!$C$78),"",0)</f>
        <v/>
      </c>
      <c r="F113" s="37">
        <f>_xlfn.XLOOKUP(C113,Articles!$A$2:$A$232,Articles!$C$2:$C$232,"",0)</f>
        <v/>
      </c>
    </row>
    <row r="114">
      <c r="A114">
        <f>$A$89+B114</f>
        <v/>
      </c>
      <c r="B114" s="36" t="n">
        <v>25</v>
      </c>
      <c r="C114">
        <f>_xlfn.XLOOKUP(B114,Fastening!$E$78:$E$107,Fastening!$A$78:$A$107,"",0)</f>
        <v/>
      </c>
      <c r="D114">
        <f>_xlfn.XLOOKUP(B114,Fastening!$E$78:$E$107,Fastening!$B$78:$B$107,"",0)</f>
        <v/>
      </c>
      <c r="E114">
        <f t="array" ref="E114">_xlfn.XLOOKUP(B114,Fastening!$E$78:$E$107,_xlfn.ANCHORARRAY(Fastening!$C$78),"",0)</f>
        <v/>
      </c>
      <c r="F114" s="37">
        <f>_xlfn.XLOOKUP(C114,Articles!$A$2:$A$232,Articles!$C$2:$C$232,"",0)</f>
        <v/>
      </c>
    </row>
    <row r="115">
      <c r="A115">
        <f>$A$89+B115</f>
        <v/>
      </c>
      <c r="B115" s="36" t="n">
        <v>26</v>
      </c>
      <c r="C115">
        <f>_xlfn.XLOOKUP(B115,Fastening!$E$78:$E$107,Fastening!$A$78:$A$107,"",0)</f>
        <v/>
      </c>
      <c r="D115">
        <f>_xlfn.XLOOKUP(B115,Fastening!$E$78:$E$107,Fastening!$B$78:$B$107,"",0)</f>
        <v/>
      </c>
      <c r="E115">
        <f t="array" ref="E115">_xlfn.XLOOKUP(B115,Fastening!$E$78:$E$107,_xlfn.ANCHORARRAY(Fastening!$C$78),"",0)</f>
        <v/>
      </c>
      <c r="F115" s="37">
        <f>_xlfn.XLOOKUP(C115,Articles!$A$2:$A$232,Articles!$C$2:$C$232,"",0)</f>
        <v/>
      </c>
    </row>
    <row r="116">
      <c r="A116">
        <f>$A$89+B116</f>
        <v/>
      </c>
      <c r="B116" s="36" t="n">
        <v>27</v>
      </c>
      <c r="C116">
        <f>_xlfn.XLOOKUP(B116,Fastening!$E$78:$E$107,Fastening!$A$78:$A$107,"",0)</f>
        <v/>
      </c>
      <c r="D116">
        <f>_xlfn.XLOOKUP(B116,Fastening!$E$78:$E$107,Fastening!$B$78:$B$107,"",0)</f>
        <v/>
      </c>
      <c r="E116">
        <f t="array" ref="E116">_xlfn.XLOOKUP(B116,Fastening!$E$78:$E$107,_xlfn.ANCHORARRAY(Fastening!$C$78),"",0)</f>
        <v/>
      </c>
      <c r="F116" s="37">
        <f>_xlfn.XLOOKUP(C116,Articles!$A$2:$A$232,Articles!$C$2:$C$232,"",0)</f>
        <v/>
      </c>
    </row>
    <row r="117" ht="15.95" customHeight="1" thickBot="1">
      <c r="A117">
        <f>$A$89+B117</f>
        <v/>
      </c>
      <c r="B117" s="36" t="n">
        <v>28</v>
      </c>
      <c r="C117">
        <f>_xlfn.XLOOKUP(B117,Fastening!$E$78:$E$107,Fastening!$A$78:$A$107,"",0)</f>
        <v/>
      </c>
      <c r="D117">
        <f>_xlfn.XLOOKUP(B117,Fastening!$E$78:$E$107,Fastening!$B$78:$B$107,"",0)</f>
        <v/>
      </c>
      <c r="E117">
        <f t="array" ref="E117">_xlfn.XLOOKUP(B117,Fastening!$E$78:$E$107,_xlfn.ANCHORARRAY(Fastening!$C$78),"",0)</f>
        <v/>
      </c>
      <c r="F117" s="37">
        <f>_xlfn.XLOOKUP(C117,Articles!$A$2:$A$232,Articles!$C$2:$C$232,"",0)</f>
        <v/>
      </c>
      <c r="G117" s="2" t="inlineStr">
        <is>
          <t>PRICE/UNIT</t>
        </is>
      </c>
      <c r="H117" s="2" t="inlineStr">
        <is>
          <t>PRICE</t>
        </is>
      </c>
      <c r="I117" s="2" t="inlineStr">
        <is>
          <t>MONTAGE/UNIT</t>
        </is>
      </c>
      <c r="J117" s="2" t="inlineStr">
        <is>
          <t>MONTAGE</t>
        </is>
      </c>
    </row>
    <row r="118" ht="15.95" customHeight="1" thickBot="1">
      <c r="A118">
        <f>$A$89+B118</f>
        <v/>
      </c>
      <c r="B118" s="36" t="n">
        <v>29</v>
      </c>
      <c r="C118" s="39">
        <f>_xlfn.XLOOKUP(B118,Fastening!$E$78:$E$107,Fastening!$A$78:$A$107,"",0)</f>
        <v/>
      </c>
      <c r="D118" s="39">
        <f>_xlfn.XLOOKUP(B118,Fastening!$E$78:$E$107,Fastening!$B$78:$B$107,"",0)</f>
        <v/>
      </c>
      <c r="E118" s="39">
        <f t="array" ref="E118">_xlfn.XLOOKUP(B118,Fastening!$E$78:$E$107,_xlfn.ANCHORARRAY(Fastening!$C$78),"",0)</f>
        <v/>
      </c>
      <c r="F118" s="39">
        <f>_xlfn.XLOOKUP(C118,Articles!$A$2:$A$232,Articles!$C$2:$C$232,"",0)</f>
        <v/>
      </c>
      <c r="G118" s="60" t="inlineStr">
        <is>
          <t>TOTAL</t>
        </is>
      </c>
      <c r="H118" s="55">
        <f>SUM(H119:H235)</f>
        <v/>
      </c>
      <c r="I118" s="61" t="inlineStr">
        <is>
          <t>TOTAL</t>
        </is>
      </c>
      <c r="J118" s="43">
        <f>SUM(J119:J235)</f>
        <v/>
      </c>
    </row>
    <row r="119">
      <c r="A119">
        <f>B119*IF(Calc!$D$105="?",0,1)</f>
        <v/>
      </c>
      <c r="B119" s="33" t="n">
        <v>1</v>
      </c>
      <c r="C119" s="34">
        <f>_xlfn.XLOOKUP($A119,$B$2:$B$89,C$2:C$89,"",0)&amp;_xlfn.XLOOKUP($A119,$A$90:$A$118,C$90:C$118,"",0)</f>
        <v/>
      </c>
      <c r="D119" s="34">
        <f>_xlfn.XLOOKUP($A119,$B$2:$B$89,D$2:D$89,"",0)&amp;_xlfn.XLOOKUP($A119,$A$90:$A$118,D$90:D$118,"",0)</f>
        <v/>
      </c>
      <c r="E119" s="34">
        <f>_xlfn.XLOOKUP($A119,$B$2:$B$89,E$2:E$89,"",0)&amp;_xlfn.XLOOKUP($A119,$A$90:$A$118,E$90:E$118,"",0)</f>
        <v/>
      </c>
      <c r="F119" s="35">
        <f>_xlfn.XLOOKUP($A119,$B$2:$B$89,F$2:F$89,"",0)&amp;_xlfn.XLOOKUP($A119,$A$90:$A$118,F$90:F$118,"",0)</f>
        <v/>
      </c>
      <c r="G119" s="51">
        <f>_xlfn.XLOOKUP(C119,Articles!A:A,Articles!D:D,0,0)</f>
        <v/>
      </c>
      <c r="H119" s="52">
        <f>IF(E119&lt;&gt;"",E119*G119,0)</f>
        <v/>
      </c>
      <c r="I119" s="50">
        <f>_xlfn.XLOOKUP(C119,Articles!A:A,Articles!E:E,0,0)</f>
        <v/>
      </c>
      <c r="J119" s="35">
        <f>IF(E119&lt;&gt;"",I119*E119,0)</f>
        <v/>
      </c>
    </row>
    <row r="120">
      <c r="A120">
        <f>B120*IF(Calc!$D$105="?",0,1)</f>
        <v/>
      </c>
      <c r="B120" s="36" t="n">
        <v>2</v>
      </c>
      <c r="C120">
        <f>_xlfn.XLOOKUP($A120,$B$2:$B$89,C$2:C$89,"",0)&amp;_xlfn.XLOOKUP($A120,$A$90:$A$118,C$90:C$118,"",0)</f>
        <v/>
      </c>
      <c r="D120">
        <f>_xlfn.XLOOKUP($A120,$B$2:$B$89,D$2:D$89,"",0)&amp;_xlfn.XLOOKUP($A120,$A$90:$A$118,D$90:D$118,"",0)</f>
        <v/>
      </c>
      <c r="E120">
        <f>_xlfn.XLOOKUP($A120,$B$2:$B$89,E$2:E$89,"",0)&amp;_xlfn.XLOOKUP($A120,$A$90:$A$118,E$90:E$118,"",0)</f>
        <v/>
      </c>
      <c r="F120" s="37">
        <f>_xlfn.XLOOKUP($A120,$B$2:$B$89,F$2:F$89,"",0)&amp;_xlfn.XLOOKUP($A120,$A$90:$A$118,F$90:F$118,"",0)</f>
        <v/>
      </c>
      <c r="G120" s="51">
        <f>_xlfn.XLOOKUP(C120,Articles!A:A,Articles!D:D,0,0)</f>
        <v/>
      </c>
      <c r="H120" s="52">
        <f>IF(E120&lt;&gt;"",E120*G120,0)</f>
        <v/>
      </c>
      <c r="I120" s="51">
        <f>_xlfn.XLOOKUP(C120,Articles!A:A,Articles!E:E,0,0)</f>
        <v/>
      </c>
      <c r="J120" s="37">
        <f>IF(E120&lt;&gt;"",I120*E120,0)</f>
        <v/>
      </c>
    </row>
    <row r="121">
      <c r="A121">
        <f>B121*IF(Calc!$D$105="?",0,1)</f>
        <v/>
      </c>
      <c r="B121" s="36" t="n">
        <v>3</v>
      </c>
      <c r="C121">
        <f>_xlfn.XLOOKUP($A121,$B$2:$B$89,C$2:C$89,"",0)&amp;_xlfn.XLOOKUP($A121,$A$90:$A$118,C$90:C$118,"",0)</f>
        <v/>
      </c>
      <c r="D121">
        <f>_xlfn.XLOOKUP($A121,$B$2:$B$89,D$2:D$89,"",0)&amp;_xlfn.XLOOKUP($A121,$A$90:$A$118,D$90:D$118,"",0)</f>
        <v/>
      </c>
      <c r="E121">
        <f>_xlfn.XLOOKUP($A121,$B$2:$B$89,E$2:E$89,"",0)&amp;_xlfn.XLOOKUP($A121,$A$90:$A$118,E$90:E$118,"",0)</f>
        <v/>
      </c>
      <c r="F121" s="37">
        <f>_xlfn.XLOOKUP($A121,$B$2:$B$89,F$2:F$89,"",0)&amp;_xlfn.XLOOKUP($A121,$A$90:$A$118,F$90:F$118,"",0)</f>
        <v/>
      </c>
      <c r="G121" s="51">
        <f>_xlfn.XLOOKUP(C121,Articles!A:A,Articles!D:D,0,0)</f>
        <v/>
      </c>
      <c r="H121" s="52">
        <f>IF(E121&lt;&gt;"",E121*G121,0)</f>
        <v/>
      </c>
      <c r="I121" s="51">
        <f>_xlfn.XLOOKUP(C121,Articles!A:A,Articles!E:E,0,0)</f>
        <v/>
      </c>
      <c r="J121" s="37">
        <f>IF(E121&lt;&gt;"",I121*E121,0)</f>
        <v/>
      </c>
    </row>
    <row r="122">
      <c r="A122">
        <f>B122*IF(Calc!$D$105="?",0,1)</f>
        <v/>
      </c>
      <c r="B122" s="36" t="n">
        <v>4</v>
      </c>
      <c r="C122">
        <f>_xlfn.XLOOKUP($A122,$B$2:$B$89,C$2:C$89,"",0)&amp;_xlfn.XLOOKUP($A122,$A$90:$A$118,C$90:C$118,"",0)</f>
        <v/>
      </c>
      <c r="D122">
        <f>_xlfn.XLOOKUP($A122,$B$2:$B$89,D$2:D$89,"",0)&amp;_xlfn.XLOOKUP($A122,$A$90:$A$118,D$90:D$118,"",0)</f>
        <v/>
      </c>
      <c r="E122">
        <f>_xlfn.XLOOKUP($A122,$B$2:$B$89,E$2:E$89,"",0)&amp;_xlfn.XLOOKUP($A122,$A$90:$A$118,E$90:E$118,"",0)</f>
        <v/>
      </c>
      <c r="F122" s="37">
        <f>_xlfn.XLOOKUP($A122,$B$2:$B$89,F$2:F$89,"",0)&amp;_xlfn.XLOOKUP($A122,$A$90:$A$118,F$90:F$118,"",0)</f>
        <v/>
      </c>
      <c r="G122" s="51">
        <f>_xlfn.XLOOKUP(C122,Articles!A:A,Articles!D:D,0,0)</f>
        <v/>
      </c>
      <c r="H122" s="52">
        <f>IF(E122&lt;&gt;"",E122*G122,0)</f>
        <v/>
      </c>
      <c r="I122" s="51">
        <f>_xlfn.XLOOKUP(C122,Articles!A:A,Articles!E:E,0,0)</f>
        <v/>
      </c>
      <c r="J122" s="37">
        <f>IF(E122&lt;&gt;"",I122*E122,0)</f>
        <v/>
      </c>
    </row>
    <row r="123">
      <c r="A123">
        <f>B123*IF(Calc!$D$105="?",0,1)</f>
        <v/>
      </c>
      <c r="B123" s="36" t="n">
        <v>5</v>
      </c>
      <c r="C123">
        <f>_xlfn.XLOOKUP($A123,$B$2:$B$89,C$2:C$89,"",0)&amp;_xlfn.XLOOKUP($A123,$A$90:$A$118,C$90:C$118,"",0)</f>
        <v/>
      </c>
      <c r="D123">
        <f>_xlfn.XLOOKUP($A123,$B$2:$B$89,D$2:D$89,"",0)&amp;_xlfn.XLOOKUP($A123,$A$90:$A$118,D$90:D$118,"",0)</f>
        <v/>
      </c>
      <c r="E123">
        <f>_xlfn.XLOOKUP($A123,$B$2:$B$89,E$2:E$89,"",0)&amp;_xlfn.XLOOKUP($A123,$A$90:$A$118,E$90:E$118,"",0)</f>
        <v/>
      </c>
      <c r="F123" s="37">
        <f>_xlfn.XLOOKUP($A123,$B$2:$B$89,F$2:F$89,"",0)&amp;_xlfn.XLOOKUP($A123,$A$90:$A$118,F$90:F$118,"",0)</f>
        <v/>
      </c>
      <c r="G123" s="51">
        <f>_xlfn.XLOOKUP(C123,Articles!A:A,Articles!D:D,0,0)</f>
        <v/>
      </c>
      <c r="H123" s="52">
        <f>IF(E123&lt;&gt;"",E123*G123,0)</f>
        <v/>
      </c>
      <c r="I123" s="51">
        <f>_xlfn.XLOOKUP(C123,Articles!A:A,Articles!E:E,0,0)</f>
        <v/>
      </c>
      <c r="J123" s="37">
        <f>IF(E123&lt;&gt;"",I123*E123,0)</f>
        <v/>
      </c>
    </row>
    <row r="124">
      <c r="A124">
        <f>B124*IF(Calc!$D$105="?",0,1)</f>
        <v/>
      </c>
      <c r="B124" s="36" t="n">
        <v>6</v>
      </c>
      <c r="C124">
        <f>_xlfn.XLOOKUP($A124,$B$2:$B$89,C$2:C$89,"",0)&amp;_xlfn.XLOOKUP($A124,$A$90:$A$118,C$90:C$118,"",0)</f>
        <v/>
      </c>
      <c r="D124">
        <f>_xlfn.XLOOKUP($A124,$B$2:$B$89,D$2:D$89,"",0)&amp;_xlfn.XLOOKUP($A124,$A$90:$A$118,D$90:D$118,"",0)</f>
        <v/>
      </c>
      <c r="E124">
        <f>_xlfn.XLOOKUP($A124,$B$2:$B$89,E$2:E$89,"",0)&amp;_xlfn.XLOOKUP($A124,$A$90:$A$118,E$90:E$118,"",0)</f>
        <v/>
      </c>
      <c r="F124" s="37">
        <f>_xlfn.XLOOKUP($A124,$B$2:$B$89,F$2:F$89,"",0)&amp;_xlfn.XLOOKUP($A124,$A$90:$A$118,F$90:F$118,"",0)</f>
        <v/>
      </c>
      <c r="G124" s="51">
        <f>_xlfn.XLOOKUP(C124,Articles!A:A,Articles!D:D,0,0)</f>
        <v/>
      </c>
      <c r="H124" s="52">
        <f>IF(E124&lt;&gt;"",E124*G124,0)</f>
        <v/>
      </c>
      <c r="I124" s="51">
        <f>_xlfn.XLOOKUP(C124,Articles!A:A,Articles!E:E,0,0)</f>
        <v/>
      </c>
      <c r="J124" s="37">
        <f>IF(E124&lt;&gt;"",I124*E124,0)</f>
        <v/>
      </c>
    </row>
    <row r="125">
      <c r="A125">
        <f>B125*IF(Calc!$D$105="?",0,1)</f>
        <v/>
      </c>
      <c r="B125" s="36" t="n">
        <v>7</v>
      </c>
      <c r="C125">
        <f>_xlfn.XLOOKUP($A125,$B$2:$B$89,C$2:C$89,"",0)&amp;_xlfn.XLOOKUP($A125,$A$90:$A$118,C$90:C$118,"",0)</f>
        <v/>
      </c>
      <c r="D125">
        <f>_xlfn.XLOOKUP($A125,$B$2:$B$89,D$2:D$89,"",0)&amp;_xlfn.XLOOKUP($A125,$A$90:$A$118,D$90:D$118,"",0)</f>
        <v/>
      </c>
      <c r="E125">
        <f>_xlfn.XLOOKUP($A125,$B$2:$B$89,E$2:E$89,"",0)&amp;_xlfn.XLOOKUP($A125,$A$90:$A$118,E$90:E$118,"",0)</f>
        <v/>
      </c>
      <c r="F125" s="37">
        <f>_xlfn.XLOOKUP($A125,$B$2:$B$89,F$2:F$89,"",0)&amp;_xlfn.XLOOKUP($A125,$A$90:$A$118,F$90:F$118,"",0)</f>
        <v/>
      </c>
      <c r="G125" s="51">
        <f>_xlfn.XLOOKUP(C125,Articles!A:A,Articles!D:D,0,0)</f>
        <v/>
      </c>
      <c r="H125" s="52">
        <f>IF(E125&lt;&gt;"",E125*G125,0)</f>
        <v/>
      </c>
      <c r="I125" s="51">
        <f>_xlfn.XLOOKUP(C125,Articles!A:A,Articles!E:E,0,0)</f>
        <v/>
      </c>
      <c r="J125" s="37">
        <f>IF(E125&lt;&gt;"",I125*E125,0)</f>
        <v/>
      </c>
    </row>
    <row r="126">
      <c r="A126">
        <f>B126*IF(Calc!$D$105="?",0,1)</f>
        <v/>
      </c>
      <c r="B126" s="36" t="n">
        <v>8</v>
      </c>
      <c r="C126">
        <f>_xlfn.XLOOKUP($A126,$B$2:$B$89,C$2:C$89,"",0)&amp;_xlfn.XLOOKUP($A126,$A$90:$A$118,C$90:C$118,"",0)</f>
        <v/>
      </c>
      <c r="D126">
        <f>_xlfn.XLOOKUP($A126,$B$2:$B$89,D$2:D$89,"",0)&amp;_xlfn.XLOOKUP($A126,$A$90:$A$118,D$90:D$118,"",0)</f>
        <v/>
      </c>
      <c r="E126">
        <f>_xlfn.XLOOKUP($A126,$B$2:$B$89,E$2:E$89,"",0)&amp;_xlfn.XLOOKUP($A126,$A$90:$A$118,E$90:E$118,"",0)</f>
        <v/>
      </c>
      <c r="F126" s="37">
        <f>_xlfn.XLOOKUP($A126,$B$2:$B$89,F$2:F$89,"",0)&amp;_xlfn.XLOOKUP($A126,$A$90:$A$118,F$90:F$118,"",0)</f>
        <v/>
      </c>
      <c r="G126" s="51">
        <f>_xlfn.XLOOKUP(C126,Articles!A:A,Articles!D:D,0,0)</f>
        <v/>
      </c>
      <c r="H126" s="52">
        <f>IF(E126&lt;&gt;"",E126*G126,0)</f>
        <v/>
      </c>
      <c r="I126" s="51">
        <f>_xlfn.XLOOKUP(C126,Articles!A:A,Articles!E:E,0,0)</f>
        <v/>
      </c>
      <c r="J126" s="37">
        <f>IF(E126&lt;&gt;"",I126*E126,0)</f>
        <v/>
      </c>
    </row>
    <row r="127">
      <c r="A127">
        <f>B127*IF(Calc!$D$105="?",0,1)</f>
        <v/>
      </c>
      <c r="B127" s="36" t="n">
        <v>9</v>
      </c>
      <c r="C127">
        <f>_xlfn.XLOOKUP($A127,$B$2:$B$89,C$2:C$89,"",0)&amp;_xlfn.XLOOKUP($A127,$A$90:$A$118,C$90:C$118,"",0)</f>
        <v/>
      </c>
      <c r="D127">
        <f>_xlfn.XLOOKUP($A127,$B$2:$B$89,D$2:D$89,"",0)&amp;_xlfn.XLOOKUP($A127,$A$90:$A$118,D$90:D$118,"",0)</f>
        <v/>
      </c>
      <c r="E127">
        <f>_xlfn.XLOOKUP($A127,$B$2:$B$89,E$2:E$89,"",0)&amp;_xlfn.XLOOKUP($A127,$A$90:$A$118,E$90:E$118,"",0)</f>
        <v/>
      </c>
      <c r="F127" s="37">
        <f>_xlfn.XLOOKUP($A127,$B$2:$B$89,F$2:F$89,"",0)&amp;_xlfn.XLOOKUP($A127,$A$90:$A$118,F$90:F$118,"",0)</f>
        <v/>
      </c>
      <c r="G127" s="51">
        <f>_xlfn.XLOOKUP(C127,Articles!A:A,Articles!D:D,0,0)</f>
        <v/>
      </c>
      <c r="H127" s="52">
        <f>IF(E127&lt;&gt;"",E127*G127,0)</f>
        <v/>
      </c>
      <c r="I127" s="51">
        <f>_xlfn.XLOOKUP(C127,Articles!A:A,Articles!E:E,0,0)</f>
        <v/>
      </c>
      <c r="J127" s="37">
        <f>IF(E127&lt;&gt;"",I127*E127,0)</f>
        <v/>
      </c>
    </row>
    <row r="128">
      <c r="A128">
        <f>B128*IF(Calc!$D$105="?",0,1)</f>
        <v/>
      </c>
      <c r="B128" s="36" t="n">
        <v>10</v>
      </c>
      <c r="C128">
        <f>_xlfn.XLOOKUP($A128,$B$2:$B$89,C$2:C$89,"",0)&amp;_xlfn.XLOOKUP($A128,$A$90:$A$118,C$90:C$118,"",0)</f>
        <v/>
      </c>
      <c r="D128">
        <f>_xlfn.XLOOKUP($A128,$B$2:$B$89,D$2:D$89,"",0)&amp;_xlfn.XLOOKUP($A128,$A$90:$A$118,D$90:D$118,"",0)</f>
        <v/>
      </c>
      <c r="E128">
        <f>_xlfn.XLOOKUP($A128,$B$2:$B$89,E$2:E$89,"",0)&amp;_xlfn.XLOOKUP($A128,$A$90:$A$118,E$90:E$118,"",0)</f>
        <v/>
      </c>
      <c r="F128" s="37">
        <f>_xlfn.XLOOKUP($A128,$B$2:$B$89,F$2:F$89,"",0)&amp;_xlfn.XLOOKUP($A128,$A$90:$A$118,F$90:F$118,"",0)</f>
        <v/>
      </c>
      <c r="G128" s="51">
        <f>_xlfn.XLOOKUP(C128,Articles!A:A,Articles!D:D,0,0)</f>
        <v/>
      </c>
      <c r="H128" s="52">
        <f>IF(E128&lt;&gt;"",E128*G128,0)</f>
        <v/>
      </c>
      <c r="I128" s="51">
        <f>_xlfn.XLOOKUP(C128,Articles!A:A,Articles!E:E,0,0)</f>
        <v/>
      </c>
      <c r="J128" s="37">
        <f>IF(E128&lt;&gt;"",I128*E128,0)</f>
        <v/>
      </c>
    </row>
    <row r="129">
      <c r="A129">
        <f>B129*IF(Calc!$D$105="?",0,1)</f>
        <v/>
      </c>
      <c r="B129" s="36" t="n">
        <v>11</v>
      </c>
      <c r="C129">
        <f>_xlfn.XLOOKUP($A129,$B$2:$B$89,C$2:C$89,"",0)&amp;_xlfn.XLOOKUP($A129,$A$90:$A$118,C$90:C$118,"",0)</f>
        <v/>
      </c>
      <c r="D129">
        <f>_xlfn.XLOOKUP($A129,$B$2:$B$89,D$2:D$89,"",0)&amp;_xlfn.XLOOKUP($A129,$A$90:$A$118,D$90:D$118,"",0)</f>
        <v/>
      </c>
      <c r="E129">
        <f>_xlfn.XLOOKUP($A129,$B$2:$B$89,E$2:E$89,"",0)&amp;_xlfn.XLOOKUP($A129,$A$90:$A$118,E$90:E$118,"",0)</f>
        <v/>
      </c>
      <c r="F129" s="37">
        <f>_xlfn.XLOOKUP($A129,$B$2:$B$89,F$2:F$89,"",0)&amp;_xlfn.XLOOKUP($A129,$A$90:$A$118,F$90:F$118,"",0)</f>
        <v/>
      </c>
      <c r="G129" s="51">
        <f>_xlfn.XLOOKUP(C129,Articles!A:A,Articles!D:D,0,0)</f>
        <v/>
      </c>
      <c r="H129" s="52">
        <f>IF(E129&lt;&gt;"",E129*G129,0)</f>
        <v/>
      </c>
      <c r="I129" s="51">
        <f>_xlfn.XLOOKUP(C129,Articles!A:A,Articles!E:E,0,0)</f>
        <v/>
      </c>
      <c r="J129" s="37">
        <f>IF(E129&lt;&gt;"",I129*E129,0)</f>
        <v/>
      </c>
    </row>
    <row r="130">
      <c r="A130">
        <f>B130*IF(Calc!$D$105="?",0,1)</f>
        <v/>
      </c>
      <c r="B130" s="36" t="n">
        <v>12</v>
      </c>
      <c r="C130">
        <f>_xlfn.XLOOKUP($A130,$B$2:$B$89,C$2:C$89,"",0)&amp;_xlfn.XLOOKUP($A130,$A$90:$A$118,C$90:C$118,"",0)</f>
        <v/>
      </c>
      <c r="D130">
        <f>_xlfn.XLOOKUP($A130,$B$2:$B$89,D$2:D$89,"",0)&amp;_xlfn.XLOOKUP($A130,$A$90:$A$118,D$90:D$118,"",0)</f>
        <v/>
      </c>
      <c r="E130">
        <f>_xlfn.XLOOKUP($A130,$B$2:$B$89,E$2:E$89,"",0)&amp;_xlfn.XLOOKUP($A130,$A$90:$A$118,E$90:E$118,"",0)</f>
        <v/>
      </c>
      <c r="F130" s="37">
        <f>_xlfn.XLOOKUP($A130,$B$2:$B$89,F$2:F$89,"",0)&amp;_xlfn.XLOOKUP($A130,$A$90:$A$118,F$90:F$118,"",0)</f>
        <v/>
      </c>
      <c r="G130" s="51">
        <f>_xlfn.XLOOKUP(C130,Articles!A:A,Articles!D:D,0,0)</f>
        <v/>
      </c>
      <c r="H130" s="52">
        <f>IF(E130&lt;&gt;"",E130*G130,0)</f>
        <v/>
      </c>
      <c r="I130" s="51">
        <f>_xlfn.XLOOKUP(C130,Articles!A:A,Articles!E:E,0,0)</f>
        <v/>
      </c>
      <c r="J130" s="37">
        <f>IF(E130&lt;&gt;"",I130*E130,0)</f>
        <v/>
      </c>
    </row>
    <row r="131">
      <c r="A131">
        <f>B131*IF(Calc!$D$105="?",0,1)</f>
        <v/>
      </c>
      <c r="B131" s="36" t="n">
        <v>13</v>
      </c>
      <c r="C131">
        <f>_xlfn.XLOOKUP($A131,$B$2:$B$89,C$2:C$89,"",0)&amp;_xlfn.XLOOKUP($A131,$A$90:$A$118,C$90:C$118,"",0)</f>
        <v/>
      </c>
      <c r="D131">
        <f>_xlfn.XLOOKUP($A131,$B$2:$B$89,D$2:D$89,"",0)&amp;_xlfn.XLOOKUP($A131,$A$90:$A$118,D$90:D$118,"",0)</f>
        <v/>
      </c>
      <c r="E131">
        <f>_xlfn.XLOOKUP($A131,$B$2:$B$89,E$2:E$89,"",0)&amp;_xlfn.XLOOKUP($A131,$A$90:$A$118,E$90:E$118,"",0)</f>
        <v/>
      </c>
      <c r="F131" s="37">
        <f>_xlfn.XLOOKUP($A131,$B$2:$B$89,F$2:F$89,"",0)&amp;_xlfn.XLOOKUP($A131,$A$90:$A$118,F$90:F$118,"",0)</f>
        <v/>
      </c>
      <c r="G131" s="51">
        <f>_xlfn.XLOOKUP(C131,Articles!A:A,Articles!D:D,0,0)</f>
        <v/>
      </c>
      <c r="H131" s="52">
        <f>IF(E131&lt;&gt;"",E131*G131,0)</f>
        <v/>
      </c>
      <c r="I131" s="51">
        <f>_xlfn.XLOOKUP(C131,Articles!A:A,Articles!E:E,0,0)</f>
        <v/>
      </c>
      <c r="J131" s="37">
        <f>IF(E131&lt;&gt;"",I131*E131,0)</f>
        <v/>
      </c>
    </row>
    <row r="132">
      <c r="A132">
        <f>B132*IF(Calc!$D$105="?",0,1)</f>
        <v/>
      </c>
      <c r="B132" s="36" t="n">
        <v>14</v>
      </c>
      <c r="C132">
        <f>_xlfn.XLOOKUP($A132,$B$2:$B$89,C$2:C$89,"",0)&amp;_xlfn.XLOOKUP($A132,$A$90:$A$118,C$90:C$118,"",0)</f>
        <v/>
      </c>
      <c r="D132">
        <f>_xlfn.XLOOKUP($A132,$B$2:$B$89,D$2:D$89,"",0)&amp;_xlfn.XLOOKUP($A132,$A$90:$A$118,D$90:D$118,"",0)</f>
        <v/>
      </c>
      <c r="E132">
        <f>_xlfn.XLOOKUP($A132,$B$2:$B$89,E$2:E$89,"",0)&amp;_xlfn.XLOOKUP($A132,$A$90:$A$118,E$90:E$118,"",0)</f>
        <v/>
      </c>
      <c r="F132" s="37">
        <f>_xlfn.XLOOKUP($A132,$B$2:$B$89,F$2:F$89,"",0)&amp;_xlfn.XLOOKUP($A132,$A$90:$A$118,F$90:F$118,"",0)</f>
        <v/>
      </c>
      <c r="G132" s="51">
        <f>_xlfn.XLOOKUP(C132,Articles!A:A,Articles!D:D,0,0)</f>
        <v/>
      </c>
      <c r="H132" s="52">
        <f>IF(E132&lt;&gt;"",E132*G132,0)</f>
        <v/>
      </c>
      <c r="I132" s="51">
        <f>_xlfn.XLOOKUP(C132,Articles!A:A,Articles!E:E,0,0)</f>
        <v/>
      </c>
      <c r="J132" s="37">
        <f>IF(E132&lt;&gt;"",I132*E132,0)</f>
        <v/>
      </c>
    </row>
    <row r="133">
      <c r="A133">
        <f>B133*IF(Calc!$D$105="?",0,1)</f>
        <v/>
      </c>
      <c r="B133" s="36" t="n">
        <v>15</v>
      </c>
      <c r="C133">
        <f>_xlfn.XLOOKUP($A133,$B$2:$B$89,C$2:C$89,"",0)&amp;_xlfn.XLOOKUP($A133,$A$90:$A$118,C$90:C$118,"",0)</f>
        <v/>
      </c>
      <c r="D133">
        <f>_xlfn.XLOOKUP($A133,$B$2:$B$89,D$2:D$89,"",0)&amp;_xlfn.XLOOKUP($A133,$A$90:$A$118,D$90:D$118,"",0)</f>
        <v/>
      </c>
      <c r="E133">
        <f>_xlfn.XLOOKUP($A133,$B$2:$B$89,E$2:E$89,"",0)&amp;_xlfn.XLOOKUP($A133,$A$90:$A$118,E$90:E$118,"",0)</f>
        <v/>
      </c>
      <c r="F133" s="37">
        <f>_xlfn.XLOOKUP($A133,$B$2:$B$89,F$2:F$89,"",0)&amp;_xlfn.XLOOKUP($A133,$A$90:$A$118,F$90:F$118,"",0)</f>
        <v/>
      </c>
      <c r="G133" s="51">
        <f>_xlfn.XLOOKUP(C133,Articles!A:A,Articles!D:D,0,0)</f>
        <v/>
      </c>
      <c r="H133" s="52">
        <f>IF(E133&lt;&gt;"",E133*G133,0)</f>
        <v/>
      </c>
      <c r="I133" s="51">
        <f>_xlfn.XLOOKUP(C133,Articles!A:A,Articles!E:E,0,0)</f>
        <v/>
      </c>
      <c r="J133" s="37">
        <f>IF(E133&lt;&gt;"",I133*E133,0)</f>
        <v/>
      </c>
    </row>
    <row r="134">
      <c r="A134">
        <f>B134*IF(Calc!$D$105="?",0,1)</f>
        <v/>
      </c>
      <c r="B134" s="36" t="n">
        <v>16</v>
      </c>
      <c r="C134">
        <f>_xlfn.XLOOKUP($A134,$B$2:$B$89,C$2:C$89,"",0)&amp;_xlfn.XLOOKUP($A134,$A$90:$A$118,C$90:C$118,"",0)</f>
        <v/>
      </c>
      <c r="D134">
        <f>_xlfn.XLOOKUP($A134,$B$2:$B$89,D$2:D$89,"",0)&amp;_xlfn.XLOOKUP($A134,$A$90:$A$118,D$90:D$118,"",0)</f>
        <v/>
      </c>
      <c r="E134">
        <f>_xlfn.XLOOKUP($A134,$B$2:$B$89,E$2:E$89,"",0)&amp;_xlfn.XLOOKUP($A134,$A$90:$A$118,E$90:E$118,"",0)</f>
        <v/>
      </c>
      <c r="F134" s="37">
        <f>_xlfn.XLOOKUP($A134,$B$2:$B$89,F$2:F$89,"",0)&amp;_xlfn.XLOOKUP($A134,$A$90:$A$118,F$90:F$118,"",0)</f>
        <v/>
      </c>
      <c r="G134" s="51">
        <f>_xlfn.XLOOKUP(C134,Articles!A:A,Articles!D:D,0,0)</f>
        <v/>
      </c>
      <c r="H134" s="52">
        <f>IF(E134&lt;&gt;"",E134*G134,0)</f>
        <v/>
      </c>
      <c r="I134" s="51">
        <f>_xlfn.XLOOKUP(C134,Articles!A:A,Articles!E:E,0,0)</f>
        <v/>
      </c>
      <c r="J134" s="37">
        <f>IF(E134&lt;&gt;"",I134*E134,0)</f>
        <v/>
      </c>
    </row>
    <row r="135">
      <c r="A135">
        <f>B135*IF(Calc!$D$105="?",0,1)</f>
        <v/>
      </c>
      <c r="B135" s="36" t="n">
        <v>17</v>
      </c>
      <c r="C135">
        <f>_xlfn.XLOOKUP($A135,$B$2:$B$89,C$2:C$89,"",0)&amp;_xlfn.XLOOKUP($A135,$A$90:$A$118,C$90:C$118,"",0)</f>
        <v/>
      </c>
      <c r="D135">
        <f>_xlfn.XLOOKUP($A135,$B$2:$B$89,D$2:D$89,"",0)&amp;_xlfn.XLOOKUP($A135,$A$90:$A$118,D$90:D$118,"",0)</f>
        <v/>
      </c>
      <c r="E135">
        <f>_xlfn.XLOOKUP($A135,$B$2:$B$89,E$2:E$89,"",0)&amp;_xlfn.XLOOKUP($A135,$A$90:$A$118,E$90:E$118,"",0)</f>
        <v/>
      </c>
      <c r="F135" s="37">
        <f>_xlfn.XLOOKUP($A135,$B$2:$B$89,F$2:F$89,"",0)&amp;_xlfn.XLOOKUP($A135,$A$90:$A$118,F$90:F$118,"",0)</f>
        <v/>
      </c>
      <c r="G135" s="51">
        <f>_xlfn.XLOOKUP(C135,Articles!A:A,Articles!D:D,0,0)</f>
        <v/>
      </c>
      <c r="H135" s="52">
        <f>IF(E135&lt;&gt;"",E135*G135,0)</f>
        <v/>
      </c>
      <c r="I135" s="51">
        <f>_xlfn.XLOOKUP(C135,Articles!A:A,Articles!E:E,0,0)</f>
        <v/>
      </c>
      <c r="J135" s="37">
        <f>IF(E135&lt;&gt;"",I135*E135,0)</f>
        <v/>
      </c>
    </row>
    <row r="136">
      <c r="A136">
        <f>B136*IF(Calc!$D$105="?",0,1)</f>
        <v/>
      </c>
      <c r="B136" s="36" t="n">
        <v>18</v>
      </c>
      <c r="C136">
        <f>_xlfn.XLOOKUP($A136,$B$2:$B$89,C$2:C$89,"",0)&amp;_xlfn.XLOOKUP($A136,$A$90:$A$118,C$90:C$118,"",0)</f>
        <v/>
      </c>
      <c r="D136">
        <f>_xlfn.XLOOKUP($A136,$B$2:$B$89,D$2:D$89,"",0)&amp;_xlfn.XLOOKUP($A136,$A$90:$A$118,D$90:D$118,"",0)</f>
        <v/>
      </c>
      <c r="E136">
        <f>_xlfn.XLOOKUP($A136,$B$2:$B$89,E$2:E$89,"",0)&amp;_xlfn.XLOOKUP($A136,$A$90:$A$118,E$90:E$118,"",0)</f>
        <v/>
      </c>
      <c r="F136" s="37">
        <f>_xlfn.XLOOKUP($A136,$B$2:$B$89,F$2:F$89,"",0)&amp;_xlfn.XLOOKUP($A136,$A$90:$A$118,F$90:F$118,"",0)</f>
        <v/>
      </c>
      <c r="G136" s="51">
        <f>_xlfn.XLOOKUP(C136,Articles!A:A,Articles!D:D,0,0)</f>
        <v/>
      </c>
      <c r="H136" s="52">
        <f>IF(E136&lt;&gt;"",E136*G136,0)</f>
        <v/>
      </c>
      <c r="I136" s="51">
        <f>_xlfn.XLOOKUP(C136,Articles!A:A,Articles!E:E,0,0)</f>
        <v/>
      </c>
      <c r="J136" s="37">
        <f>IF(E136&lt;&gt;"",I136*E136,0)</f>
        <v/>
      </c>
    </row>
    <row r="137">
      <c r="A137">
        <f>B137*IF(Calc!$D$105="?",0,1)</f>
        <v/>
      </c>
      <c r="B137" s="36" t="n">
        <v>19</v>
      </c>
      <c r="C137">
        <f>_xlfn.XLOOKUP($A137,$B$2:$B$89,C$2:C$89,"",0)&amp;_xlfn.XLOOKUP($A137,$A$90:$A$118,C$90:C$118,"",0)</f>
        <v/>
      </c>
      <c r="D137">
        <f>_xlfn.XLOOKUP($A137,$B$2:$B$89,D$2:D$89,"",0)&amp;_xlfn.XLOOKUP($A137,$A$90:$A$118,D$90:D$118,"",0)</f>
        <v/>
      </c>
      <c r="E137">
        <f>_xlfn.XLOOKUP($A137,$B$2:$B$89,E$2:E$89,"",0)&amp;_xlfn.XLOOKUP($A137,$A$90:$A$118,E$90:E$118,"",0)</f>
        <v/>
      </c>
      <c r="F137" s="37">
        <f>_xlfn.XLOOKUP($A137,$B$2:$B$89,F$2:F$89,"",0)&amp;_xlfn.XLOOKUP($A137,$A$90:$A$118,F$90:F$118,"",0)</f>
        <v/>
      </c>
      <c r="G137" s="51">
        <f>_xlfn.XLOOKUP(C137,Articles!A:A,Articles!D:D,0,0)</f>
        <v/>
      </c>
      <c r="H137" s="52">
        <f>IF(E137&lt;&gt;"",E137*G137,0)</f>
        <v/>
      </c>
      <c r="I137" s="51">
        <f>_xlfn.XLOOKUP(C137,Articles!A:A,Articles!E:E,0,0)</f>
        <v/>
      </c>
      <c r="J137" s="37">
        <f>IF(E137&lt;&gt;"",I137*E137,0)</f>
        <v/>
      </c>
    </row>
    <row r="138">
      <c r="A138">
        <f>B138*IF(Calc!$D$105="?",0,1)</f>
        <v/>
      </c>
      <c r="B138" s="36" t="n">
        <v>20</v>
      </c>
      <c r="C138">
        <f>_xlfn.XLOOKUP($A138,$B$2:$B$89,C$2:C$89,"",0)&amp;_xlfn.XLOOKUP($A138,$A$90:$A$118,C$90:C$118,"",0)</f>
        <v/>
      </c>
      <c r="D138">
        <f>_xlfn.XLOOKUP($A138,$B$2:$B$89,D$2:D$89,"",0)&amp;_xlfn.XLOOKUP($A138,$A$90:$A$118,D$90:D$118,"",0)</f>
        <v/>
      </c>
      <c r="E138">
        <f>_xlfn.XLOOKUP($A138,$B$2:$B$89,E$2:E$89,"",0)&amp;_xlfn.XLOOKUP($A138,$A$90:$A$118,E$90:E$118,"",0)</f>
        <v/>
      </c>
      <c r="F138" s="37">
        <f>_xlfn.XLOOKUP($A138,$B$2:$B$89,F$2:F$89,"",0)&amp;_xlfn.XLOOKUP($A138,$A$90:$A$118,F$90:F$118,"",0)</f>
        <v/>
      </c>
      <c r="G138" s="51">
        <f>_xlfn.XLOOKUP(C138,Articles!A:A,Articles!D:D,0,0)</f>
        <v/>
      </c>
      <c r="H138" s="52">
        <f>IF(E138&lt;&gt;"",E138*G138,0)</f>
        <v/>
      </c>
      <c r="I138" s="51">
        <f>_xlfn.XLOOKUP(C138,Articles!A:A,Articles!E:E,0,0)</f>
        <v/>
      </c>
      <c r="J138" s="37">
        <f>IF(E138&lt;&gt;"",I138*E138,0)</f>
        <v/>
      </c>
    </row>
    <row r="139">
      <c r="A139">
        <f>B139*IF(Calc!$D$105="?",0,1)</f>
        <v/>
      </c>
      <c r="B139" s="36" t="n">
        <v>21</v>
      </c>
      <c r="C139">
        <f>_xlfn.XLOOKUP($A139,$B$2:$B$89,C$2:C$89,"",0)&amp;_xlfn.XLOOKUP($A139,$A$90:$A$118,C$90:C$118,"",0)</f>
        <v/>
      </c>
      <c r="D139">
        <f>_xlfn.XLOOKUP($A139,$B$2:$B$89,D$2:D$89,"",0)&amp;_xlfn.XLOOKUP($A139,$A$90:$A$118,D$90:D$118,"",0)</f>
        <v/>
      </c>
      <c r="E139">
        <f>_xlfn.XLOOKUP($A139,$B$2:$B$89,E$2:E$89,"",0)&amp;_xlfn.XLOOKUP($A139,$A$90:$A$118,E$90:E$118,"",0)</f>
        <v/>
      </c>
      <c r="F139" s="37">
        <f>_xlfn.XLOOKUP($A139,$B$2:$B$89,F$2:F$89,"",0)&amp;_xlfn.XLOOKUP($A139,$A$90:$A$118,F$90:F$118,"",0)</f>
        <v/>
      </c>
      <c r="G139" s="51">
        <f>_xlfn.XLOOKUP(C139,Articles!A:A,Articles!D:D,0,0)</f>
        <v/>
      </c>
      <c r="H139" s="52">
        <f>IF(E139&lt;&gt;"",E139*G139,0)</f>
        <v/>
      </c>
      <c r="I139" s="51">
        <f>_xlfn.XLOOKUP(C139,Articles!A:A,Articles!E:E,0,0)</f>
        <v/>
      </c>
      <c r="J139" s="37">
        <f>IF(E139&lt;&gt;"",I139*E139,0)</f>
        <v/>
      </c>
    </row>
    <row r="140">
      <c r="A140">
        <f>B140*IF(Calc!$D$105="?",0,1)</f>
        <v/>
      </c>
      <c r="B140" s="36" t="n">
        <v>22</v>
      </c>
      <c r="C140">
        <f>_xlfn.XLOOKUP($A140,$B$2:$B$89,C$2:C$89,"",0)&amp;_xlfn.XLOOKUP($A140,$A$90:$A$118,C$90:C$118,"",0)</f>
        <v/>
      </c>
      <c r="D140">
        <f>_xlfn.XLOOKUP($A140,$B$2:$B$89,D$2:D$89,"",0)&amp;_xlfn.XLOOKUP($A140,$A$90:$A$118,D$90:D$118,"",0)</f>
        <v/>
      </c>
      <c r="E140">
        <f>_xlfn.XLOOKUP($A140,$B$2:$B$89,E$2:E$89,"",0)&amp;_xlfn.XLOOKUP($A140,$A$90:$A$118,E$90:E$118,"",0)</f>
        <v/>
      </c>
      <c r="F140" s="37">
        <f>_xlfn.XLOOKUP($A140,$B$2:$B$89,F$2:F$89,"",0)&amp;_xlfn.XLOOKUP($A140,$A$90:$A$118,F$90:F$118,"",0)</f>
        <v/>
      </c>
      <c r="G140" s="51">
        <f>_xlfn.XLOOKUP(C140,Articles!A:A,Articles!D:D,0,0)</f>
        <v/>
      </c>
      <c r="H140" s="52">
        <f>IF(E140&lt;&gt;"",E140*G140,0)</f>
        <v/>
      </c>
      <c r="I140" s="51">
        <f>_xlfn.XLOOKUP(C140,Articles!A:A,Articles!E:E,0,0)</f>
        <v/>
      </c>
      <c r="J140" s="37">
        <f>IF(E140&lt;&gt;"",I140*E140,0)</f>
        <v/>
      </c>
    </row>
    <row r="141">
      <c r="A141">
        <f>B141*IF(Calc!$D$105="?",0,1)</f>
        <v/>
      </c>
      <c r="B141" s="36" t="n">
        <v>23</v>
      </c>
      <c r="C141">
        <f>_xlfn.XLOOKUP($A141,$B$2:$B$89,C$2:C$89,"",0)&amp;_xlfn.XLOOKUP($A141,$A$90:$A$118,C$90:C$118,"",0)</f>
        <v/>
      </c>
      <c r="D141">
        <f>_xlfn.XLOOKUP($A141,$B$2:$B$89,D$2:D$89,"",0)&amp;_xlfn.XLOOKUP($A141,$A$90:$A$118,D$90:D$118,"",0)</f>
        <v/>
      </c>
      <c r="E141">
        <f>_xlfn.XLOOKUP($A141,$B$2:$B$89,E$2:E$89,"",0)&amp;_xlfn.XLOOKUP($A141,$A$90:$A$118,E$90:E$118,"",0)</f>
        <v/>
      </c>
      <c r="F141" s="37">
        <f>_xlfn.XLOOKUP($A141,$B$2:$B$89,F$2:F$89,"",0)&amp;_xlfn.XLOOKUP($A141,$A$90:$A$118,F$90:F$118,"",0)</f>
        <v/>
      </c>
      <c r="G141" s="51">
        <f>_xlfn.XLOOKUP(C141,Articles!A:A,Articles!D:D,0,0)</f>
        <v/>
      </c>
      <c r="H141" s="52">
        <f>IF(E141&lt;&gt;"",E141*G141,0)</f>
        <v/>
      </c>
      <c r="I141" s="51">
        <f>_xlfn.XLOOKUP(C141,Articles!A:A,Articles!E:E,0,0)</f>
        <v/>
      </c>
      <c r="J141" s="37">
        <f>IF(E141&lt;&gt;"",I141*E141,0)</f>
        <v/>
      </c>
    </row>
    <row r="142">
      <c r="A142">
        <f>B142*IF(Calc!$D$105="?",0,1)</f>
        <v/>
      </c>
      <c r="B142" s="36" t="n">
        <v>24</v>
      </c>
      <c r="C142">
        <f>_xlfn.XLOOKUP($A142,$B$2:$B$89,C$2:C$89,"",0)&amp;_xlfn.XLOOKUP($A142,$A$90:$A$118,C$90:C$118,"",0)</f>
        <v/>
      </c>
      <c r="D142">
        <f>_xlfn.XLOOKUP($A142,$B$2:$B$89,D$2:D$89,"",0)&amp;_xlfn.XLOOKUP($A142,$A$90:$A$118,D$90:D$118,"",0)</f>
        <v/>
      </c>
      <c r="E142">
        <f>_xlfn.XLOOKUP($A142,$B$2:$B$89,E$2:E$89,"",0)&amp;_xlfn.XLOOKUP($A142,$A$90:$A$118,E$90:E$118,"",0)</f>
        <v/>
      </c>
      <c r="F142" s="37">
        <f>_xlfn.XLOOKUP($A142,$B$2:$B$89,F$2:F$89,"",0)&amp;_xlfn.XLOOKUP($A142,$A$90:$A$118,F$90:F$118,"",0)</f>
        <v/>
      </c>
      <c r="G142" s="51">
        <f>_xlfn.XLOOKUP(C142,Articles!A:A,Articles!D:D,0,0)</f>
        <v/>
      </c>
      <c r="H142" s="52">
        <f>IF(E142&lt;&gt;"",E142*G142,0)</f>
        <v/>
      </c>
      <c r="I142" s="51">
        <f>_xlfn.XLOOKUP(C142,Articles!A:A,Articles!E:E,0,0)</f>
        <v/>
      </c>
      <c r="J142" s="37">
        <f>IF(E142&lt;&gt;"",I142*E142,0)</f>
        <v/>
      </c>
    </row>
    <row r="143">
      <c r="A143">
        <f>B143*IF(Calc!$D$105="?",0,1)</f>
        <v/>
      </c>
      <c r="B143" s="36" t="n">
        <v>25</v>
      </c>
      <c r="C143">
        <f>_xlfn.XLOOKUP($A143,$B$2:$B$89,C$2:C$89,"",0)&amp;_xlfn.XLOOKUP($A143,$A$90:$A$118,C$90:C$118,"",0)</f>
        <v/>
      </c>
      <c r="D143">
        <f>_xlfn.XLOOKUP($A143,$B$2:$B$89,D$2:D$89,"",0)&amp;_xlfn.XLOOKUP($A143,$A$90:$A$118,D$90:D$118,"",0)</f>
        <v/>
      </c>
      <c r="E143">
        <f>_xlfn.XLOOKUP($A143,$B$2:$B$89,E$2:E$89,"",0)&amp;_xlfn.XLOOKUP($A143,$A$90:$A$118,E$90:E$118,"",0)</f>
        <v/>
      </c>
      <c r="F143" s="37">
        <f>_xlfn.XLOOKUP($A143,$B$2:$B$89,F$2:F$89,"",0)&amp;_xlfn.XLOOKUP($A143,$A$90:$A$118,F$90:F$118,"",0)</f>
        <v/>
      </c>
      <c r="G143" s="51">
        <f>_xlfn.XLOOKUP(C143,Articles!A:A,Articles!D:D,0,0)</f>
        <v/>
      </c>
      <c r="H143" s="52">
        <f>IF(E143&lt;&gt;"",E143*G143,0)</f>
        <v/>
      </c>
      <c r="I143" s="51">
        <f>_xlfn.XLOOKUP(C143,Articles!A:A,Articles!E:E,0,0)</f>
        <v/>
      </c>
      <c r="J143" s="37">
        <f>IF(E143&lt;&gt;"",I143*E143,0)</f>
        <v/>
      </c>
    </row>
    <row r="144">
      <c r="A144">
        <f>B144*IF(Calc!$D$105="?",0,1)</f>
        <v/>
      </c>
      <c r="B144" s="36" t="n">
        <v>26</v>
      </c>
      <c r="C144">
        <f>_xlfn.XLOOKUP($A144,$B$2:$B$89,C$2:C$89,"",0)&amp;_xlfn.XLOOKUP($A144,$A$90:$A$118,C$90:C$118,"",0)</f>
        <v/>
      </c>
      <c r="D144">
        <f>_xlfn.XLOOKUP($A144,$B$2:$B$89,D$2:D$89,"",0)&amp;_xlfn.XLOOKUP($A144,$A$90:$A$118,D$90:D$118,"",0)</f>
        <v/>
      </c>
      <c r="E144">
        <f>_xlfn.XLOOKUP($A144,$B$2:$B$89,E$2:E$89,"",0)&amp;_xlfn.XLOOKUP($A144,$A$90:$A$118,E$90:E$118,"",0)</f>
        <v/>
      </c>
      <c r="F144" s="37">
        <f>_xlfn.XLOOKUP($A144,$B$2:$B$89,F$2:F$89,"",0)&amp;_xlfn.XLOOKUP($A144,$A$90:$A$118,F$90:F$118,"",0)</f>
        <v/>
      </c>
      <c r="G144" s="51">
        <f>_xlfn.XLOOKUP(C144,Articles!A:A,Articles!D:D,0,0)</f>
        <v/>
      </c>
      <c r="H144" s="52">
        <f>IF(E144&lt;&gt;"",E144*G144,0)</f>
        <v/>
      </c>
      <c r="I144" s="51">
        <f>_xlfn.XLOOKUP(C144,Articles!A:A,Articles!E:E,0,0)</f>
        <v/>
      </c>
      <c r="J144" s="37">
        <f>IF(E144&lt;&gt;"",I144*E144,0)</f>
        <v/>
      </c>
    </row>
    <row r="145">
      <c r="A145">
        <f>B145*IF(Calc!$D$105="?",0,1)</f>
        <v/>
      </c>
      <c r="B145" s="36" t="n">
        <v>27</v>
      </c>
      <c r="C145">
        <f>_xlfn.XLOOKUP($A145,$B$2:$B$89,C$2:C$89,"",0)&amp;_xlfn.XLOOKUP($A145,$A$90:$A$118,C$90:C$118,"",0)</f>
        <v/>
      </c>
      <c r="D145">
        <f>_xlfn.XLOOKUP($A145,$B$2:$B$89,D$2:D$89,"",0)&amp;_xlfn.XLOOKUP($A145,$A$90:$A$118,D$90:D$118,"",0)</f>
        <v/>
      </c>
      <c r="E145">
        <f>_xlfn.XLOOKUP($A145,$B$2:$B$89,E$2:E$89,"",0)&amp;_xlfn.XLOOKUP($A145,$A$90:$A$118,E$90:E$118,"",0)</f>
        <v/>
      </c>
      <c r="F145" s="37">
        <f>_xlfn.XLOOKUP($A145,$B$2:$B$89,F$2:F$89,"",0)&amp;_xlfn.XLOOKUP($A145,$A$90:$A$118,F$90:F$118,"",0)</f>
        <v/>
      </c>
      <c r="G145" s="51">
        <f>_xlfn.XLOOKUP(C145,Articles!A:A,Articles!D:D,0,0)</f>
        <v/>
      </c>
      <c r="H145" s="52">
        <f>IF(E145&lt;&gt;"",E145*G145,0)</f>
        <v/>
      </c>
      <c r="I145" s="51">
        <f>_xlfn.XLOOKUP(C145,Articles!A:A,Articles!E:E,0,0)</f>
        <v/>
      </c>
      <c r="J145" s="37">
        <f>IF(E145&lt;&gt;"",I145*E145,0)</f>
        <v/>
      </c>
    </row>
    <row r="146">
      <c r="A146">
        <f>B146*IF(Calc!$D$105="?",0,1)</f>
        <v/>
      </c>
      <c r="B146" s="36" t="n">
        <v>28</v>
      </c>
      <c r="C146">
        <f>_xlfn.XLOOKUP($A146,$B$2:$B$89,C$2:C$89,"",0)&amp;_xlfn.XLOOKUP($A146,$A$90:$A$118,C$90:C$118,"",0)</f>
        <v/>
      </c>
      <c r="D146">
        <f>_xlfn.XLOOKUP($A146,$B$2:$B$89,D$2:D$89,"",0)&amp;_xlfn.XLOOKUP($A146,$A$90:$A$118,D$90:D$118,"",0)</f>
        <v/>
      </c>
      <c r="E146">
        <f>_xlfn.XLOOKUP($A146,$B$2:$B$89,E$2:E$89,"",0)&amp;_xlfn.XLOOKUP($A146,$A$90:$A$118,E$90:E$118,"",0)</f>
        <v/>
      </c>
      <c r="F146" s="37">
        <f>_xlfn.XLOOKUP($A146,$B$2:$B$89,F$2:F$89,"",0)&amp;_xlfn.XLOOKUP($A146,$A$90:$A$118,F$90:F$118,"",0)</f>
        <v/>
      </c>
      <c r="G146" s="51">
        <f>_xlfn.XLOOKUP(C146,Articles!A:A,Articles!D:D,0,0)</f>
        <v/>
      </c>
      <c r="H146" s="52">
        <f>IF(E146&lt;&gt;"",E146*G146,0)</f>
        <v/>
      </c>
      <c r="I146" s="51">
        <f>_xlfn.XLOOKUP(C146,Articles!A:A,Articles!E:E,0,0)</f>
        <v/>
      </c>
      <c r="J146" s="37">
        <f>IF(E146&lt;&gt;"",I146*E146,0)</f>
        <v/>
      </c>
    </row>
    <row r="147">
      <c r="A147">
        <f>B147*IF(Calc!$D$105="?",0,1)</f>
        <v/>
      </c>
      <c r="B147" s="36" t="n">
        <v>29</v>
      </c>
      <c r="C147">
        <f>_xlfn.XLOOKUP($A147,$B$2:$B$89,C$2:C$89,"",0)&amp;_xlfn.XLOOKUP($A147,$A$90:$A$118,C$90:C$118,"",0)</f>
        <v/>
      </c>
      <c r="D147">
        <f>_xlfn.XLOOKUP($A147,$B$2:$B$89,D$2:D$89,"",0)&amp;_xlfn.XLOOKUP($A147,$A$90:$A$118,D$90:D$118,"",0)</f>
        <v/>
      </c>
      <c r="E147">
        <f>_xlfn.XLOOKUP($A147,$B$2:$B$89,E$2:E$89,"",0)&amp;_xlfn.XLOOKUP($A147,$A$90:$A$118,E$90:E$118,"",0)</f>
        <v/>
      </c>
      <c r="F147" s="37">
        <f>_xlfn.XLOOKUP($A147,$B$2:$B$89,F$2:F$89,"",0)&amp;_xlfn.XLOOKUP($A147,$A$90:$A$118,F$90:F$118,"",0)</f>
        <v/>
      </c>
      <c r="G147" s="51">
        <f>_xlfn.XLOOKUP(C147,Articles!A:A,Articles!D:D,0,0)</f>
        <v/>
      </c>
      <c r="H147" s="52">
        <f>IF(E147&lt;&gt;"",E147*G147,0)</f>
        <v/>
      </c>
      <c r="I147" s="51">
        <f>_xlfn.XLOOKUP(C147,Articles!A:A,Articles!E:E,0,0)</f>
        <v/>
      </c>
      <c r="J147" s="37">
        <f>IF(E147&lt;&gt;"",I147*E147,0)</f>
        <v/>
      </c>
    </row>
    <row r="148">
      <c r="A148">
        <f>B148*IF(Calc!$D$105="?",0,1)</f>
        <v/>
      </c>
      <c r="B148" s="36" t="n">
        <v>30</v>
      </c>
      <c r="C148">
        <f>_xlfn.XLOOKUP($A148,$B$2:$B$89,C$2:C$89,"",0)&amp;_xlfn.XLOOKUP($A148,$A$90:$A$118,C$90:C$118,"",0)</f>
        <v/>
      </c>
      <c r="D148">
        <f>_xlfn.XLOOKUP($A148,$B$2:$B$89,D$2:D$89,"",0)&amp;_xlfn.XLOOKUP($A148,$A$90:$A$118,D$90:D$118,"",0)</f>
        <v/>
      </c>
      <c r="E148">
        <f>_xlfn.XLOOKUP($A148,$B$2:$B$89,E$2:E$89,"",0)&amp;_xlfn.XLOOKUP($A148,$A$90:$A$118,E$90:E$118,"",0)</f>
        <v/>
      </c>
      <c r="F148" s="37">
        <f>_xlfn.XLOOKUP($A148,$B$2:$B$89,F$2:F$89,"",0)&amp;_xlfn.XLOOKUP($A148,$A$90:$A$118,F$90:F$118,"",0)</f>
        <v/>
      </c>
      <c r="G148" s="51">
        <f>_xlfn.XLOOKUP(C148,Articles!A:A,Articles!D:D,0,0)</f>
        <v/>
      </c>
      <c r="H148" s="52">
        <f>IF(E148&lt;&gt;"",E148*G148,0)</f>
        <v/>
      </c>
      <c r="I148" s="51">
        <f>_xlfn.XLOOKUP(C148,Articles!A:A,Articles!E:E,0,0)</f>
        <v/>
      </c>
      <c r="J148" s="37">
        <f>IF(E148&lt;&gt;"",I148*E148,0)</f>
        <v/>
      </c>
    </row>
    <row r="149">
      <c r="A149">
        <f>B149*IF(Calc!$D$105="?",0,1)</f>
        <v/>
      </c>
      <c r="B149" s="36" t="n">
        <v>31</v>
      </c>
      <c r="C149">
        <f>_xlfn.XLOOKUP($A149,$B$2:$B$89,C$2:C$89,"",0)&amp;_xlfn.XLOOKUP($A149,$A$90:$A$118,C$90:C$118,"",0)</f>
        <v/>
      </c>
      <c r="D149">
        <f>_xlfn.XLOOKUP($A149,$B$2:$B$89,D$2:D$89,"",0)&amp;_xlfn.XLOOKUP($A149,$A$90:$A$118,D$90:D$118,"",0)</f>
        <v/>
      </c>
      <c r="E149">
        <f>_xlfn.XLOOKUP($A149,$B$2:$B$89,E$2:E$89,"",0)&amp;_xlfn.XLOOKUP($A149,$A$90:$A$118,E$90:E$118,"",0)</f>
        <v/>
      </c>
      <c r="F149" s="37">
        <f>_xlfn.XLOOKUP($A149,$B$2:$B$89,F$2:F$89,"",0)&amp;_xlfn.XLOOKUP($A149,$A$90:$A$118,F$90:F$118,"",0)</f>
        <v/>
      </c>
      <c r="G149" s="51">
        <f>_xlfn.XLOOKUP(C149,Articles!A:A,Articles!D:D,0,0)</f>
        <v/>
      </c>
      <c r="H149" s="52">
        <f>IF(E149&lt;&gt;"",E149*G149,0)</f>
        <v/>
      </c>
      <c r="I149" s="51">
        <f>_xlfn.XLOOKUP(C149,Articles!A:A,Articles!E:E,0,0)</f>
        <v/>
      </c>
      <c r="J149" s="37">
        <f>IF(E149&lt;&gt;"",I149*E149,0)</f>
        <v/>
      </c>
    </row>
    <row r="150">
      <c r="A150">
        <f>B150*IF(Calc!$D$105="?",0,1)</f>
        <v/>
      </c>
      <c r="B150" s="36" t="n">
        <v>32</v>
      </c>
      <c r="C150">
        <f>_xlfn.XLOOKUP($A150,$B$2:$B$89,C$2:C$89,"",0)&amp;_xlfn.XLOOKUP($A150,$A$90:$A$118,C$90:C$118,"",0)</f>
        <v/>
      </c>
      <c r="D150">
        <f>_xlfn.XLOOKUP($A150,$B$2:$B$89,D$2:D$89,"",0)&amp;_xlfn.XLOOKUP($A150,$A$90:$A$118,D$90:D$118,"",0)</f>
        <v/>
      </c>
      <c r="E150">
        <f>_xlfn.XLOOKUP($A150,$B$2:$B$89,E$2:E$89,"",0)&amp;_xlfn.XLOOKUP($A150,$A$90:$A$118,E$90:E$118,"",0)</f>
        <v/>
      </c>
      <c r="F150" s="37">
        <f>_xlfn.XLOOKUP($A150,$B$2:$B$89,F$2:F$89,"",0)&amp;_xlfn.XLOOKUP($A150,$A$90:$A$118,F$90:F$118,"",0)</f>
        <v/>
      </c>
      <c r="G150" s="51">
        <f>_xlfn.XLOOKUP(C150,Articles!A:A,Articles!D:D,0,0)</f>
        <v/>
      </c>
      <c r="H150" s="52">
        <f>IF(E150&lt;&gt;"",E150*G150,0)</f>
        <v/>
      </c>
      <c r="I150" s="51">
        <f>_xlfn.XLOOKUP(C150,Articles!A:A,Articles!E:E,0,0)</f>
        <v/>
      </c>
      <c r="J150" s="37">
        <f>IF(E150&lt;&gt;"",I150*E150,0)</f>
        <v/>
      </c>
    </row>
    <row r="151">
      <c r="A151">
        <f>B151*IF(Calc!$D$105="?",0,1)</f>
        <v/>
      </c>
      <c r="B151" s="36" t="n">
        <v>33</v>
      </c>
      <c r="C151">
        <f>_xlfn.XLOOKUP($A151,$B$2:$B$89,C$2:C$89,"",0)&amp;_xlfn.XLOOKUP($A151,$A$90:$A$118,C$90:C$118,"",0)</f>
        <v/>
      </c>
      <c r="D151">
        <f>_xlfn.XLOOKUP($A151,$B$2:$B$89,D$2:D$89,"",0)&amp;_xlfn.XLOOKUP($A151,$A$90:$A$118,D$90:D$118,"",0)</f>
        <v/>
      </c>
      <c r="E151">
        <f>_xlfn.XLOOKUP($A151,$B$2:$B$89,E$2:E$89,"",0)&amp;_xlfn.XLOOKUP($A151,$A$90:$A$118,E$90:E$118,"",0)</f>
        <v/>
      </c>
      <c r="F151" s="37">
        <f>_xlfn.XLOOKUP($A151,$B$2:$B$89,F$2:F$89,"",0)&amp;_xlfn.XLOOKUP($A151,$A$90:$A$118,F$90:F$118,"",0)</f>
        <v/>
      </c>
      <c r="G151" s="51">
        <f>_xlfn.XLOOKUP(C151,Articles!A:A,Articles!D:D,0,0)</f>
        <v/>
      </c>
      <c r="H151" s="52">
        <f>IF(E151&lt;&gt;"",E151*G151,0)</f>
        <v/>
      </c>
      <c r="I151" s="51">
        <f>_xlfn.XLOOKUP(C151,Articles!A:A,Articles!E:E,0,0)</f>
        <v/>
      </c>
      <c r="J151" s="37">
        <f>IF(E151&lt;&gt;"",I151*E151,0)</f>
        <v/>
      </c>
    </row>
    <row r="152">
      <c r="A152">
        <f>B152*IF(Calc!$D$105="?",0,1)</f>
        <v/>
      </c>
      <c r="B152" s="36" t="n">
        <v>34</v>
      </c>
      <c r="C152">
        <f>_xlfn.XLOOKUP($A152,$B$2:$B$89,C$2:C$89,"",0)&amp;_xlfn.XLOOKUP($A152,$A$90:$A$118,C$90:C$118,"",0)</f>
        <v/>
      </c>
      <c r="D152">
        <f>_xlfn.XLOOKUP($A152,$B$2:$B$89,D$2:D$89,"",0)&amp;_xlfn.XLOOKUP($A152,$A$90:$A$118,D$90:D$118,"",0)</f>
        <v/>
      </c>
      <c r="E152">
        <f>_xlfn.XLOOKUP($A152,$B$2:$B$89,E$2:E$89,"",0)&amp;_xlfn.XLOOKUP($A152,$A$90:$A$118,E$90:E$118,"",0)</f>
        <v/>
      </c>
      <c r="F152" s="37">
        <f>_xlfn.XLOOKUP($A152,$B$2:$B$89,F$2:F$89,"",0)&amp;_xlfn.XLOOKUP($A152,$A$90:$A$118,F$90:F$118,"",0)</f>
        <v/>
      </c>
      <c r="G152" s="51">
        <f>_xlfn.XLOOKUP(C152,Articles!A:A,Articles!D:D,0,0)</f>
        <v/>
      </c>
      <c r="H152" s="52">
        <f>IF(E152&lt;&gt;"",E152*G152,0)</f>
        <v/>
      </c>
      <c r="I152" s="51">
        <f>_xlfn.XLOOKUP(C152,Articles!A:A,Articles!E:E,0,0)</f>
        <v/>
      </c>
      <c r="J152" s="37">
        <f>IF(E152&lt;&gt;"",I152*E152,0)</f>
        <v/>
      </c>
    </row>
    <row r="153">
      <c r="A153">
        <f>B153*IF(Calc!$D$105="?",0,1)</f>
        <v/>
      </c>
      <c r="B153" s="36" t="n">
        <v>35</v>
      </c>
      <c r="C153">
        <f>_xlfn.XLOOKUP($A153,$B$2:$B$89,C$2:C$89,"",0)&amp;_xlfn.XLOOKUP($A153,$A$90:$A$118,C$90:C$118,"",0)</f>
        <v/>
      </c>
      <c r="D153">
        <f>_xlfn.XLOOKUP($A153,$B$2:$B$89,D$2:D$89,"",0)&amp;_xlfn.XLOOKUP($A153,$A$90:$A$118,D$90:D$118,"",0)</f>
        <v/>
      </c>
      <c r="E153">
        <f>_xlfn.XLOOKUP($A153,$B$2:$B$89,E$2:E$89,"",0)&amp;_xlfn.XLOOKUP($A153,$A$90:$A$118,E$90:E$118,"",0)</f>
        <v/>
      </c>
      <c r="F153" s="37">
        <f>_xlfn.XLOOKUP($A153,$B$2:$B$89,F$2:F$89,"",0)&amp;_xlfn.XLOOKUP($A153,$A$90:$A$118,F$90:F$118,"",0)</f>
        <v/>
      </c>
      <c r="G153" s="51">
        <f>_xlfn.XLOOKUP(C153,Articles!A:A,Articles!D:D,0,0)</f>
        <v/>
      </c>
      <c r="H153" s="52">
        <f>IF(E153&lt;&gt;"",E153*G153,0)</f>
        <v/>
      </c>
      <c r="I153" s="51">
        <f>_xlfn.XLOOKUP(C153,Articles!A:A,Articles!E:E,0,0)</f>
        <v/>
      </c>
      <c r="J153" s="37">
        <f>IF(E153&lt;&gt;"",I153*E153,0)</f>
        <v/>
      </c>
    </row>
    <row r="154">
      <c r="A154">
        <f>B154*IF(Calc!$D$105="?",0,1)</f>
        <v/>
      </c>
      <c r="B154" s="36" t="n">
        <v>36</v>
      </c>
      <c r="C154">
        <f>_xlfn.XLOOKUP($A154,$B$2:$B$89,C$2:C$89,"",0)&amp;_xlfn.XLOOKUP($A154,$A$90:$A$118,C$90:C$118,"",0)</f>
        <v/>
      </c>
      <c r="D154">
        <f>_xlfn.XLOOKUP($A154,$B$2:$B$89,D$2:D$89,"",0)&amp;_xlfn.XLOOKUP($A154,$A$90:$A$118,D$90:D$118,"",0)</f>
        <v/>
      </c>
      <c r="E154">
        <f>_xlfn.XLOOKUP($A154,$B$2:$B$89,E$2:E$89,"",0)&amp;_xlfn.XLOOKUP($A154,$A$90:$A$118,E$90:E$118,"",0)</f>
        <v/>
      </c>
      <c r="F154" s="37">
        <f>_xlfn.XLOOKUP($A154,$B$2:$B$89,F$2:F$89,"",0)&amp;_xlfn.XLOOKUP($A154,$A$90:$A$118,F$90:F$118,"",0)</f>
        <v/>
      </c>
      <c r="G154" s="51">
        <f>_xlfn.XLOOKUP(C154,Articles!A:A,Articles!D:D,0,0)</f>
        <v/>
      </c>
      <c r="H154" s="52">
        <f>IF(E154&lt;&gt;"",E154*G154,0)</f>
        <v/>
      </c>
      <c r="I154" s="51">
        <f>_xlfn.XLOOKUP(C154,Articles!A:A,Articles!E:E,0,0)</f>
        <v/>
      </c>
      <c r="J154" s="37">
        <f>IF(E154&lt;&gt;"",I154*E154,0)</f>
        <v/>
      </c>
    </row>
    <row r="155">
      <c r="A155">
        <f>B155*IF(Calc!$D$105="?",0,1)</f>
        <v/>
      </c>
      <c r="B155" s="36" t="n">
        <v>37</v>
      </c>
      <c r="C155">
        <f>_xlfn.XLOOKUP($A155,$B$2:$B$89,C$2:C$89,"",0)&amp;_xlfn.XLOOKUP($A155,$A$90:$A$118,C$90:C$118,"",0)</f>
        <v/>
      </c>
      <c r="D155">
        <f>_xlfn.XLOOKUP($A155,$B$2:$B$89,D$2:D$89,"",0)&amp;_xlfn.XLOOKUP($A155,$A$90:$A$118,D$90:D$118,"",0)</f>
        <v/>
      </c>
      <c r="E155">
        <f>_xlfn.XLOOKUP($A155,$B$2:$B$89,E$2:E$89,"",0)&amp;_xlfn.XLOOKUP($A155,$A$90:$A$118,E$90:E$118,"",0)</f>
        <v/>
      </c>
      <c r="F155" s="37">
        <f>_xlfn.XLOOKUP($A155,$B$2:$B$89,F$2:F$89,"",0)&amp;_xlfn.XLOOKUP($A155,$A$90:$A$118,F$90:F$118,"",0)</f>
        <v/>
      </c>
      <c r="G155" s="51">
        <f>_xlfn.XLOOKUP(C155,Articles!A:A,Articles!D:D,0,0)</f>
        <v/>
      </c>
      <c r="H155" s="52">
        <f>IF(E155&lt;&gt;"",E155*G155,0)</f>
        <v/>
      </c>
      <c r="I155" s="51">
        <f>_xlfn.XLOOKUP(C155,Articles!A:A,Articles!E:E,0,0)</f>
        <v/>
      </c>
      <c r="J155" s="37">
        <f>IF(E155&lt;&gt;"",I155*E155,0)</f>
        <v/>
      </c>
    </row>
    <row r="156">
      <c r="A156">
        <f>B156*IF(Calc!$D$105="?",0,1)</f>
        <v/>
      </c>
      <c r="B156" s="36" t="n">
        <v>38</v>
      </c>
      <c r="C156">
        <f>_xlfn.XLOOKUP($A156,$B$2:$B$89,C$2:C$89,"",0)&amp;_xlfn.XLOOKUP($A156,$A$90:$A$118,C$90:C$118,"",0)</f>
        <v/>
      </c>
      <c r="D156">
        <f>_xlfn.XLOOKUP($A156,$B$2:$B$89,D$2:D$89,"",0)&amp;_xlfn.XLOOKUP($A156,$A$90:$A$118,D$90:D$118,"",0)</f>
        <v/>
      </c>
      <c r="E156">
        <f>_xlfn.XLOOKUP($A156,$B$2:$B$89,E$2:E$89,"",0)&amp;_xlfn.XLOOKUP($A156,$A$90:$A$118,E$90:E$118,"",0)</f>
        <v/>
      </c>
      <c r="F156" s="37">
        <f>_xlfn.XLOOKUP($A156,$B$2:$B$89,F$2:F$89,"",0)&amp;_xlfn.XLOOKUP($A156,$A$90:$A$118,F$90:F$118,"",0)</f>
        <v/>
      </c>
      <c r="G156" s="51">
        <f>_xlfn.XLOOKUP(C156,Articles!A:A,Articles!D:D,0,0)</f>
        <v/>
      </c>
      <c r="H156" s="52">
        <f>IF(E156&lt;&gt;"",E156*G156,0)</f>
        <v/>
      </c>
      <c r="I156" s="51">
        <f>_xlfn.XLOOKUP(C156,Articles!A:A,Articles!E:E,0,0)</f>
        <v/>
      </c>
      <c r="J156" s="37">
        <f>IF(E156&lt;&gt;"",I156*E156,0)</f>
        <v/>
      </c>
    </row>
    <row r="157">
      <c r="A157">
        <f>B157*IF(Calc!$D$105="?",0,1)</f>
        <v/>
      </c>
      <c r="B157" s="36" t="n">
        <v>39</v>
      </c>
      <c r="C157">
        <f>_xlfn.XLOOKUP($A157,$B$2:$B$89,C$2:C$89,"",0)&amp;_xlfn.XLOOKUP($A157,$A$90:$A$118,C$90:C$118,"",0)</f>
        <v/>
      </c>
      <c r="D157">
        <f>_xlfn.XLOOKUP($A157,$B$2:$B$89,D$2:D$89,"",0)&amp;_xlfn.XLOOKUP($A157,$A$90:$A$118,D$90:D$118,"",0)</f>
        <v/>
      </c>
      <c r="E157">
        <f>_xlfn.XLOOKUP($A157,$B$2:$B$89,E$2:E$89,"",0)&amp;_xlfn.XLOOKUP($A157,$A$90:$A$118,E$90:E$118,"",0)</f>
        <v/>
      </c>
      <c r="F157" s="37">
        <f>_xlfn.XLOOKUP($A157,$B$2:$B$89,F$2:F$89,"",0)&amp;_xlfn.XLOOKUP($A157,$A$90:$A$118,F$90:F$118,"",0)</f>
        <v/>
      </c>
      <c r="G157" s="51">
        <f>_xlfn.XLOOKUP(C157,Articles!A:A,Articles!D:D,0,0)</f>
        <v/>
      </c>
      <c r="H157" s="52">
        <f>IF(E157&lt;&gt;"",E157*G157,0)</f>
        <v/>
      </c>
      <c r="I157" s="51">
        <f>_xlfn.XLOOKUP(C157,Articles!A:A,Articles!E:E,0,0)</f>
        <v/>
      </c>
      <c r="J157" s="37">
        <f>IF(E157&lt;&gt;"",I157*E157,0)</f>
        <v/>
      </c>
    </row>
    <row r="158">
      <c r="A158">
        <f>B158*IF(Calc!$D$105="?",0,1)</f>
        <v/>
      </c>
      <c r="B158" s="36" t="n">
        <v>40</v>
      </c>
      <c r="C158">
        <f>_xlfn.XLOOKUP($A158,$B$2:$B$89,C$2:C$89,"",0)&amp;_xlfn.XLOOKUP($A158,$A$90:$A$118,C$90:C$118,"",0)</f>
        <v/>
      </c>
      <c r="D158">
        <f>_xlfn.XLOOKUP($A158,$B$2:$B$89,D$2:D$89,"",0)&amp;_xlfn.XLOOKUP($A158,$A$90:$A$118,D$90:D$118,"",0)</f>
        <v/>
      </c>
      <c r="E158">
        <f>_xlfn.XLOOKUP($A158,$B$2:$B$89,E$2:E$89,"",0)&amp;_xlfn.XLOOKUP($A158,$A$90:$A$118,E$90:E$118,"",0)</f>
        <v/>
      </c>
      <c r="F158" s="37">
        <f>_xlfn.XLOOKUP($A158,$B$2:$B$89,F$2:F$89,"",0)&amp;_xlfn.XLOOKUP($A158,$A$90:$A$118,F$90:F$118,"",0)</f>
        <v/>
      </c>
      <c r="G158" s="51">
        <f>_xlfn.XLOOKUP(C158,Articles!A:A,Articles!D:D,0,0)</f>
        <v/>
      </c>
      <c r="H158" s="52">
        <f>IF(E158&lt;&gt;"",E158*G158,0)</f>
        <v/>
      </c>
      <c r="I158" s="51">
        <f>_xlfn.XLOOKUP(C158,Articles!A:A,Articles!E:E,0,0)</f>
        <v/>
      </c>
      <c r="J158" s="37">
        <f>IF(E158&lt;&gt;"",I158*E158,0)</f>
        <v/>
      </c>
    </row>
    <row r="159">
      <c r="A159">
        <f>B159*IF(Calc!$D$105="?",0,1)</f>
        <v/>
      </c>
      <c r="B159" s="36" t="n">
        <v>41</v>
      </c>
      <c r="C159">
        <f>_xlfn.XLOOKUP($A159,$B$2:$B$89,C$2:C$89,"",0)&amp;_xlfn.XLOOKUP($A159,$A$90:$A$118,C$90:C$118,"",0)</f>
        <v/>
      </c>
      <c r="D159">
        <f>_xlfn.XLOOKUP($A159,$B$2:$B$89,D$2:D$89,"",0)&amp;_xlfn.XLOOKUP($A159,$A$90:$A$118,D$90:D$118,"",0)</f>
        <v/>
      </c>
      <c r="E159">
        <f>_xlfn.XLOOKUP($A159,$B$2:$B$89,E$2:E$89,"",0)&amp;_xlfn.XLOOKUP($A159,$A$90:$A$118,E$90:E$118,"",0)</f>
        <v/>
      </c>
      <c r="F159" s="37">
        <f>_xlfn.XLOOKUP($A159,$B$2:$B$89,F$2:F$89,"",0)&amp;_xlfn.XLOOKUP($A159,$A$90:$A$118,F$90:F$118,"",0)</f>
        <v/>
      </c>
      <c r="G159" s="51">
        <f>_xlfn.XLOOKUP(C159,Articles!A:A,Articles!D:D,0,0)</f>
        <v/>
      </c>
      <c r="H159" s="52">
        <f>IF(E159&lt;&gt;"",E159*G159,0)</f>
        <v/>
      </c>
      <c r="I159" s="51">
        <f>_xlfn.XLOOKUP(C159,Articles!A:A,Articles!E:E,0,0)</f>
        <v/>
      </c>
      <c r="J159" s="37">
        <f>IF(E159&lt;&gt;"",I159*E159,0)</f>
        <v/>
      </c>
    </row>
    <row r="160">
      <c r="A160">
        <f>B160*IF(Calc!$D$105="?",0,1)</f>
        <v/>
      </c>
      <c r="B160" s="36" t="n">
        <v>42</v>
      </c>
      <c r="C160">
        <f>_xlfn.XLOOKUP($A160,$B$2:$B$89,C$2:C$89,"",0)&amp;_xlfn.XLOOKUP($A160,$A$90:$A$118,C$90:C$118,"",0)</f>
        <v/>
      </c>
      <c r="D160">
        <f>_xlfn.XLOOKUP($A160,$B$2:$B$89,D$2:D$89,"",0)&amp;_xlfn.XLOOKUP($A160,$A$90:$A$118,D$90:D$118,"",0)</f>
        <v/>
      </c>
      <c r="E160">
        <f>_xlfn.XLOOKUP($A160,$B$2:$B$89,E$2:E$89,"",0)&amp;_xlfn.XLOOKUP($A160,$A$90:$A$118,E$90:E$118,"",0)</f>
        <v/>
      </c>
      <c r="F160" s="37">
        <f>_xlfn.XLOOKUP($A160,$B$2:$B$89,F$2:F$89,"",0)&amp;_xlfn.XLOOKUP($A160,$A$90:$A$118,F$90:F$118,"",0)</f>
        <v/>
      </c>
      <c r="G160" s="51">
        <f>_xlfn.XLOOKUP(C160,Articles!A:A,Articles!D:D,0,0)</f>
        <v/>
      </c>
      <c r="H160" s="52">
        <f>IF(E160&lt;&gt;"",E160*G160,0)</f>
        <v/>
      </c>
      <c r="I160" s="51">
        <f>_xlfn.XLOOKUP(C160,Articles!A:A,Articles!E:E,0,0)</f>
        <v/>
      </c>
      <c r="J160" s="37">
        <f>IF(E160&lt;&gt;"",I160*E160,0)</f>
        <v/>
      </c>
    </row>
    <row r="161">
      <c r="A161">
        <f>B161*IF(Calc!$D$105="?",0,1)</f>
        <v/>
      </c>
      <c r="B161" s="36" t="n">
        <v>43</v>
      </c>
      <c r="C161">
        <f>_xlfn.XLOOKUP($A161,$B$2:$B$89,C$2:C$89,"",0)&amp;_xlfn.XLOOKUP($A161,$A$90:$A$118,C$90:C$118,"",0)</f>
        <v/>
      </c>
      <c r="D161">
        <f>_xlfn.XLOOKUP($A161,$B$2:$B$89,D$2:D$89,"",0)&amp;_xlfn.XLOOKUP($A161,$A$90:$A$118,D$90:D$118,"",0)</f>
        <v/>
      </c>
      <c r="E161">
        <f>_xlfn.XLOOKUP($A161,$B$2:$B$89,E$2:E$89,"",0)&amp;_xlfn.XLOOKUP($A161,$A$90:$A$118,E$90:E$118,"",0)</f>
        <v/>
      </c>
      <c r="F161" s="37">
        <f>_xlfn.XLOOKUP($A161,$B$2:$B$89,F$2:F$89,"",0)&amp;_xlfn.XLOOKUP($A161,$A$90:$A$118,F$90:F$118,"",0)</f>
        <v/>
      </c>
      <c r="G161" s="51">
        <f>_xlfn.XLOOKUP(C161,Articles!A:A,Articles!D:D,0,0)</f>
        <v/>
      </c>
      <c r="H161" s="52">
        <f>IF(E161&lt;&gt;"",E161*G161,0)</f>
        <v/>
      </c>
      <c r="I161" s="51">
        <f>_xlfn.XLOOKUP(C161,Articles!A:A,Articles!E:E,0,0)</f>
        <v/>
      </c>
      <c r="J161" s="37">
        <f>IF(E161&lt;&gt;"",I161*E161,0)</f>
        <v/>
      </c>
    </row>
    <row r="162">
      <c r="A162">
        <f>B162*IF(Calc!$D$105="?",0,1)</f>
        <v/>
      </c>
      <c r="B162" s="36" t="n">
        <v>44</v>
      </c>
      <c r="C162">
        <f>_xlfn.XLOOKUP($A162,$B$2:$B$89,C$2:C$89,"",0)&amp;_xlfn.XLOOKUP($A162,$A$90:$A$118,C$90:C$118,"",0)</f>
        <v/>
      </c>
      <c r="D162">
        <f>_xlfn.XLOOKUP($A162,$B$2:$B$89,D$2:D$89,"",0)&amp;_xlfn.XLOOKUP($A162,$A$90:$A$118,D$90:D$118,"",0)</f>
        <v/>
      </c>
      <c r="E162">
        <f>_xlfn.XLOOKUP($A162,$B$2:$B$89,E$2:E$89,"",0)&amp;_xlfn.XLOOKUP($A162,$A$90:$A$118,E$90:E$118,"",0)</f>
        <v/>
      </c>
      <c r="F162" s="37">
        <f>_xlfn.XLOOKUP($A162,$B$2:$B$89,F$2:F$89,"",0)&amp;_xlfn.XLOOKUP($A162,$A$90:$A$118,F$90:F$118,"",0)</f>
        <v/>
      </c>
      <c r="G162" s="51">
        <f>_xlfn.XLOOKUP(C162,Articles!A:A,Articles!D:D,0,0)</f>
        <v/>
      </c>
      <c r="H162" s="52">
        <f>IF(E162&lt;&gt;"",E162*G162,0)</f>
        <v/>
      </c>
      <c r="I162" s="51">
        <f>_xlfn.XLOOKUP(C162,Articles!A:A,Articles!E:E,0,0)</f>
        <v/>
      </c>
      <c r="J162" s="37">
        <f>IF(E162&lt;&gt;"",I162*E162,0)</f>
        <v/>
      </c>
    </row>
    <row r="163">
      <c r="A163">
        <f>B163*IF(Calc!$D$105="?",0,1)</f>
        <v/>
      </c>
      <c r="B163" s="36" t="n">
        <v>45</v>
      </c>
      <c r="C163">
        <f>_xlfn.XLOOKUP($A163,$B$2:$B$89,C$2:C$89,"",0)&amp;_xlfn.XLOOKUP($A163,$A$90:$A$118,C$90:C$118,"",0)</f>
        <v/>
      </c>
      <c r="D163">
        <f>_xlfn.XLOOKUP($A163,$B$2:$B$89,D$2:D$89,"",0)&amp;_xlfn.XLOOKUP($A163,$A$90:$A$118,D$90:D$118,"",0)</f>
        <v/>
      </c>
      <c r="E163">
        <f>_xlfn.XLOOKUP($A163,$B$2:$B$89,E$2:E$89,"",0)&amp;_xlfn.XLOOKUP($A163,$A$90:$A$118,E$90:E$118,"",0)</f>
        <v/>
      </c>
      <c r="F163" s="37">
        <f>_xlfn.XLOOKUP($A163,$B$2:$B$89,F$2:F$89,"",0)&amp;_xlfn.XLOOKUP($A163,$A$90:$A$118,F$90:F$118,"",0)</f>
        <v/>
      </c>
      <c r="G163" s="51">
        <f>_xlfn.XLOOKUP(C163,Articles!A:A,Articles!D:D,0,0)</f>
        <v/>
      </c>
      <c r="H163" s="52">
        <f>IF(E163&lt;&gt;"",E163*G163,0)</f>
        <v/>
      </c>
      <c r="I163" s="51">
        <f>_xlfn.XLOOKUP(C163,Articles!A:A,Articles!E:E,0,0)</f>
        <v/>
      </c>
      <c r="J163" s="37">
        <f>IF(E163&lt;&gt;"",I163*E163,0)</f>
        <v/>
      </c>
    </row>
    <row r="164">
      <c r="A164">
        <f>B164*IF(Calc!$D$105="?",0,1)</f>
        <v/>
      </c>
      <c r="B164" s="36" t="n">
        <v>46</v>
      </c>
      <c r="C164">
        <f>_xlfn.XLOOKUP($A164,$B$2:$B$89,C$2:C$89,"",0)&amp;_xlfn.XLOOKUP($A164,$A$90:$A$118,C$90:C$118,"",0)</f>
        <v/>
      </c>
      <c r="D164">
        <f>_xlfn.XLOOKUP($A164,$B$2:$B$89,D$2:D$89,"",0)&amp;_xlfn.XLOOKUP($A164,$A$90:$A$118,D$90:D$118,"",0)</f>
        <v/>
      </c>
      <c r="E164">
        <f>_xlfn.XLOOKUP($A164,$B$2:$B$89,E$2:E$89,"",0)&amp;_xlfn.XLOOKUP($A164,$A$90:$A$118,E$90:E$118,"",0)</f>
        <v/>
      </c>
      <c r="F164" s="37">
        <f>_xlfn.XLOOKUP($A164,$B$2:$B$89,F$2:F$89,"",0)&amp;_xlfn.XLOOKUP($A164,$A$90:$A$118,F$90:F$118,"",0)</f>
        <v/>
      </c>
      <c r="G164" s="51">
        <f>_xlfn.XLOOKUP(C164,Articles!A:A,Articles!D:D,0,0)</f>
        <v/>
      </c>
      <c r="H164" s="52">
        <f>IF(E164&lt;&gt;"",E164*G164,0)</f>
        <v/>
      </c>
      <c r="I164" s="51">
        <f>_xlfn.XLOOKUP(C164,Articles!A:A,Articles!E:E,0,0)</f>
        <v/>
      </c>
      <c r="J164" s="37">
        <f>IF(E164&lt;&gt;"",I164*E164,0)</f>
        <v/>
      </c>
    </row>
    <row r="165">
      <c r="A165">
        <f>B165*IF(Calc!$D$105="?",0,1)</f>
        <v/>
      </c>
      <c r="B165" s="36" t="n">
        <v>47</v>
      </c>
      <c r="C165">
        <f>_xlfn.XLOOKUP($A165,$B$2:$B$89,C$2:C$89,"",0)&amp;_xlfn.XLOOKUP($A165,$A$90:$A$118,C$90:C$118,"",0)</f>
        <v/>
      </c>
      <c r="D165">
        <f>_xlfn.XLOOKUP($A165,$B$2:$B$89,D$2:D$89,"",0)&amp;_xlfn.XLOOKUP($A165,$A$90:$A$118,D$90:D$118,"",0)</f>
        <v/>
      </c>
      <c r="E165">
        <f>_xlfn.XLOOKUP($A165,$B$2:$B$89,E$2:E$89,"",0)&amp;_xlfn.XLOOKUP($A165,$A$90:$A$118,E$90:E$118,"",0)</f>
        <v/>
      </c>
      <c r="F165" s="37">
        <f>_xlfn.XLOOKUP($A165,$B$2:$B$89,F$2:F$89,"",0)&amp;_xlfn.XLOOKUP($A165,$A$90:$A$118,F$90:F$118,"",0)</f>
        <v/>
      </c>
      <c r="G165" s="51">
        <f>_xlfn.XLOOKUP(C165,Articles!A:A,Articles!D:D,0,0)</f>
        <v/>
      </c>
      <c r="H165" s="52">
        <f>IF(E165&lt;&gt;"",E165*G165,0)</f>
        <v/>
      </c>
      <c r="I165" s="51">
        <f>_xlfn.XLOOKUP(C165,Articles!A:A,Articles!E:E,0,0)</f>
        <v/>
      </c>
      <c r="J165" s="37">
        <f>IF(E165&lt;&gt;"",I165*E165,0)</f>
        <v/>
      </c>
    </row>
    <row r="166">
      <c r="A166">
        <f>B166*IF(Calc!$D$105="?",0,1)</f>
        <v/>
      </c>
      <c r="B166" s="36" t="n">
        <v>48</v>
      </c>
      <c r="C166">
        <f>_xlfn.XLOOKUP($A166,$B$2:$B$89,C$2:C$89,"",0)&amp;_xlfn.XLOOKUP($A166,$A$90:$A$118,C$90:C$118,"",0)</f>
        <v/>
      </c>
      <c r="D166">
        <f>_xlfn.XLOOKUP($A166,$B$2:$B$89,D$2:D$89,"",0)&amp;_xlfn.XLOOKUP($A166,$A$90:$A$118,D$90:D$118,"",0)</f>
        <v/>
      </c>
      <c r="E166">
        <f>_xlfn.XLOOKUP($A166,$B$2:$B$89,E$2:E$89,"",0)&amp;_xlfn.XLOOKUP($A166,$A$90:$A$118,E$90:E$118,"",0)</f>
        <v/>
      </c>
      <c r="F166" s="37">
        <f>_xlfn.XLOOKUP($A166,$B$2:$B$89,F$2:F$89,"",0)&amp;_xlfn.XLOOKUP($A166,$A$90:$A$118,F$90:F$118,"",0)</f>
        <v/>
      </c>
      <c r="G166" s="51">
        <f>_xlfn.XLOOKUP(C166,Articles!A:A,Articles!D:D,0,0)</f>
        <v/>
      </c>
      <c r="H166" s="52">
        <f>IF(E166&lt;&gt;"",E166*G166,0)</f>
        <v/>
      </c>
      <c r="I166" s="51">
        <f>_xlfn.XLOOKUP(C166,Articles!A:A,Articles!E:E,0,0)</f>
        <v/>
      </c>
      <c r="J166" s="37">
        <f>IF(E166&lt;&gt;"",I166*E166,0)</f>
        <v/>
      </c>
    </row>
    <row r="167">
      <c r="A167">
        <f>B167*IF(Calc!$D$105="?",0,1)</f>
        <v/>
      </c>
      <c r="B167" s="36" t="n">
        <v>49</v>
      </c>
      <c r="C167">
        <f>_xlfn.XLOOKUP($A167,$B$2:$B$89,C$2:C$89,"",0)&amp;_xlfn.XLOOKUP($A167,$A$90:$A$118,C$90:C$118,"",0)</f>
        <v/>
      </c>
      <c r="D167">
        <f>_xlfn.XLOOKUP($A167,$B$2:$B$89,D$2:D$89,"",0)&amp;_xlfn.XLOOKUP($A167,$A$90:$A$118,D$90:D$118,"",0)</f>
        <v/>
      </c>
      <c r="E167">
        <f>_xlfn.XLOOKUP($A167,$B$2:$B$89,E$2:E$89,"",0)&amp;_xlfn.XLOOKUP($A167,$A$90:$A$118,E$90:E$118,"",0)</f>
        <v/>
      </c>
      <c r="F167" s="37">
        <f>_xlfn.XLOOKUP($A167,$B$2:$B$89,F$2:F$89,"",0)&amp;_xlfn.XLOOKUP($A167,$A$90:$A$118,F$90:F$118,"",0)</f>
        <v/>
      </c>
      <c r="G167" s="51">
        <f>_xlfn.XLOOKUP(C167,Articles!A:A,Articles!D:D,0,0)</f>
        <v/>
      </c>
      <c r="H167" s="52">
        <f>IF(E167&lt;&gt;"",E167*G167,0)</f>
        <v/>
      </c>
      <c r="I167" s="51">
        <f>_xlfn.XLOOKUP(C167,Articles!A:A,Articles!E:E,0,0)</f>
        <v/>
      </c>
      <c r="J167" s="37">
        <f>IF(E167&lt;&gt;"",I167*E167,0)</f>
        <v/>
      </c>
    </row>
    <row r="168">
      <c r="A168">
        <f>B168*IF(Calc!$D$105="?",0,1)</f>
        <v/>
      </c>
      <c r="B168" s="36" t="n">
        <v>50</v>
      </c>
      <c r="C168">
        <f>_xlfn.XLOOKUP($A168,$B$2:$B$89,C$2:C$89,"",0)&amp;_xlfn.XLOOKUP($A168,$A$90:$A$118,C$90:C$118,"",0)</f>
        <v/>
      </c>
      <c r="D168">
        <f>_xlfn.XLOOKUP($A168,$B$2:$B$89,D$2:D$89,"",0)&amp;_xlfn.XLOOKUP($A168,$A$90:$A$118,D$90:D$118,"",0)</f>
        <v/>
      </c>
      <c r="E168">
        <f>_xlfn.XLOOKUP($A168,$B$2:$B$89,E$2:E$89,"",0)&amp;_xlfn.XLOOKUP($A168,$A$90:$A$118,E$90:E$118,"",0)</f>
        <v/>
      </c>
      <c r="F168" s="37">
        <f>_xlfn.XLOOKUP($A168,$B$2:$B$89,F$2:F$89,"",0)&amp;_xlfn.XLOOKUP($A168,$A$90:$A$118,F$90:F$118,"",0)</f>
        <v/>
      </c>
      <c r="G168" s="51">
        <f>_xlfn.XLOOKUP(C168,Articles!A:A,Articles!D:D,0,0)</f>
        <v/>
      </c>
      <c r="H168" s="52">
        <f>IF(E168&lt;&gt;"",E168*G168,0)</f>
        <v/>
      </c>
      <c r="I168" s="51">
        <f>_xlfn.XLOOKUP(C168,Articles!A:A,Articles!E:E,0,0)</f>
        <v/>
      </c>
      <c r="J168" s="37">
        <f>IF(E168&lt;&gt;"",I168*E168,0)</f>
        <v/>
      </c>
    </row>
    <row r="169">
      <c r="A169">
        <f>B169*IF(Calc!$D$105="?",0,1)</f>
        <v/>
      </c>
      <c r="B169" s="36" t="n">
        <v>51</v>
      </c>
      <c r="C169">
        <f>_xlfn.XLOOKUP($A169,$B$2:$B$89,C$2:C$89,"",0)&amp;_xlfn.XLOOKUP($A169,$A$90:$A$118,C$90:C$118,"",0)</f>
        <v/>
      </c>
      <c r="D169">
        <f>_xlfn.XLOOKUP($A169,$B$2:$B$89,D$2:D$89,"",0)&amp;_xlfn.XLOOKUP($A169,$A$90:$A$118,D$90:D$118,"",0)</f>
        <v/>
      </c>
      <c r="E169">
        <f>_xlfn.XLOOKUP($A169,$B$2:$B$89,E$2:E$89,"",0)&amp;_xlfn.XLOOKUP($A169,$A$90:$A$118,E$90:E$118,"",0)</f>
        <v/>
      </c>
      <c r="F169" s="37">
        <f>_xlfn.XLOOKUP($A169,$B$2:$B$89,F$2:F$89,"",0)&amp;_xlfn.XLOOKUP($A169,$A$90:$A$118,F$90:F$118,"",0)</f>
        <v/>
      </c>
      <c r="G169" s="51">
        <f>_xlfn.XLOOKUP(C169,Articles!A:A,Articles!D:D,0,0)</f>
        <v/>
      </c>
      <c r="H169" s="52">
        <f>IF(E169&lt;&gt;"",E169*G169,0)</f>
        <v/>
      </c>
      <c r="I169" s="51">
        <f>_xlfn.XLOOKUP(C169,Articles!A:A,Articles!E:E,0,0)</f>
        <v/>
      </c>
      <c r="J169" s="37">
        <f>IF(E169&lt;&gt;"",I169*E169,0)</f>
        <v/>
      </c>
    </row>
    <row r="170">
      <c r="A170">
        <f>B170*IF(Calc!$D$105="?",0,1)</f>
        <v/>
      </c>
      <c r="B170" s="36" t="n">
        <v>52</v>
      </c>
      <c r="C170">
        <f>_xlfn.XLOOKUP($A170,$B$2:$B$89,C$2:C$89,"",0)&amp;_xlfn.XLOOKUP($A170,$A$90:$A$118,C$90:C$118,"",0)</f>
        <v/>
      </c>
      <c r="D170">
        <f>_xlfn.XLOOKUP($A170,$B$2:$B$89,D$2:D$89,"",0)&amp;_xlfn.XLOOKUP($A170,$A$90:$A$118,D$90:D$118,"",0)</f>
        <v/>
      </c>
      <c r="E170">
        <f>_xlfn.XLOOKUP($A170,$B$2:$B$89,E$2:E$89,"",0)&amp;_xlfn.XLOOKUP($A170,$A$90:$A$118,E$90:E$118,"",0)</f>
        <v/>
      </c>
      <c r="F170" s="37">
        <f>_xlfn.XLOOKUP($A170,$B$2:$B$89,F$2:F$89,"",0)&amp;_xlfn.XLOOKUP($A170,$A$90:$A$118,F$90:F$118,"",0)</f>
        <v/>
      </c>
      <c r="G170" s="51">
        <f>_xlfn.XLOOKUP(C170,Articles!A:A,Articles!D:D,0,0)</f>
        <v/>
      </c>
      <c r="H170" s="52">
        <f>IF(E170&lt;&gt;"",E170*G170,0)</f>
        <v/>
      </c>
      <c r="I170" s="51">
        <f>_xlfn.XLOOKUP(C170,Articles!A:A,Articles!E:E,0,0)</f>
        <v/>
      </c>
      <c r="J170" s="37">
        <f>IF(E170&lt;&gt;"",I170*E170,0)</f>
        <v/>
      </c>
    </row>
    <row r="171">
      <c r="A171">
        <f>B171*IF(Calc!$D$105="?",0,1)</f>
        <v/>
      </c>
      <c r="B171" s="36" t="n">
        <v>53</v>
      </c>
      <c r="C171">
        <f>_xlfn.XLOOKUP($A171,$B$2:$B$89,C$2:C$89,"",0)&amp;_xlfn.XLOOKUP($A171,$A$90:$A$118,C$90:C$118,"",0)</f>
        <v/>
      </c>
      <c r="D171">
        <f>_xlfn.XLOOKUP($A171,$B$2:$B$89,D$2:D$89,"",0)&amp;_xlfn.XLOOKUP($A171,$A$90:$A$118,D$90:D$118,"",0)</f>
        <v/>
      </c>
      <c r="E171">
        <f>_xlfn.XLOOKUP($A171,$B$2:$B$89,E$2:E$89,"",0)&amp;_xlfn.XLOOKUP($A171,$A$90:$A$118,E$90:E$118,"",0)</f>
        <v/>
      </c>
      <c r="F171" s="37">
        <f>_xlfn.XLOOKUP($A171,$B$2:$B$89,F$2:F$89,"",0)&amp;_xlfn.XLOOKUP($A171,$A$90:$A$118,F$90:F$118,"",0)</f>
        <v/>
      </c>
      <c r="G171" s="51">
        <f>_xlfn.XLOOKUP(C171,Articles!A:A,Articles!D:D,0,0)</f>
        <v/>
      </c>
      <c r="H171" s="52">
        <f>IF(E171&lt;&gt;"",E171*G171,0)</f>
        <v/>
      </c>
      <c r="I171" s="51">
        <f>_xlfn.XLOOKUP(C171,Articles!A:A,Articles!E:E,0,0)</f>
        <v/>
      </c>
      <c r="J171" s="37">
        <f>IF(E171&lt;&gt;"",I171*E171,0)</f>
        <v/>
      </c>
    </row>
    <row r="172">
      <c r="A172">
        <f>B172*IF(Calc!$D$105="?",0,1)</f>
        <v/>
      </c>
      <c r="B172" s="36" t="n">
        <v>54</v>
      </c>
      <c r="C172">
        <f>_xlfn.XLOOKUP($A172,$B$2:$B$89,C$2:C$89,"",0)&amp;_xlfn.XLOOKUP($A172,$A$90:$A$118,C$90:C$118,"",0)</f>
        <v/>
      </c>
      <c r="D172">
        <f>_xlfn.XLOOKUP($A172,$B$2:$B$89,D$2:D$89,"",0)&amp;_xlfn.XLOOKUP($A172,$A$90:$A$118,D$90:D$118,"",0)</f>
        <v/>
      </c>
      <c r="E172">
        <f>_xlfn.XLOOKUP($A172,$B$2:$B$89,E$2:E$89,"",0)&amp;_xlfn.XLOOKUP($A172,$A$90:$A$118,E$90:E$118,"",0)</f>
        <v/>
      </c>
      <c r="F172" s="37">
        <f>_xlfn.XLOOKUP($A172,$B$2:$B$89,F$2:F$89,"",0)&amp;_xlfn.XLOOKUP($A172,$A$90:$A$118,F$90:F$118,"",0)</f>
        <v/>
      </c>
      <c r="G172" s="51">
        <f>_xlfn.XLOOKUP(C172,Articles!A:A,Articles!D:D,0,0)</f>
        <v/>
      </c>
      <c r="H172" s="52">
        <f>IF(E172&lt;&gt;"",E172*G172,0)</f>
        <v/>
      </c>
      <c r="I172" s="51">
        <f>_xlfn.XLOOKUP(C172,Articles!A:A,Articles!E:E,0,0)</f>
        <v/>
      </c>
      <c r="J172" s="37">
        <f>IF(E172&lt;&gt;"",I172*E172,0)</f>
        <v/>
      </c>
    </row>
    <row r="173">
      <c r="A173">
        <f>B173*IF(Calc!$D$105="?",0,1)</f>
        <v/>
      </c>
      <c r="B173" s="36" t="n">
        <v>55</v>
      </c>
      <c r="C173">
        <f>_xlfn.XLOOKUP($A173,$B$2:$B$89,C$2:C$89,"",0)&amp;_xlfn.XLOOKUP($A173,$A$90:$A$118,C$90:C$118,"",0)</f>
        <v/>
      </c>
      <c r="D173">
        <f>_xlfn.XLOOKUP($A173,$B$2:$B$89,D$2:D$89,"",0)&amp;_xlfn.XLOOKUP($A173,$A$90:$A$118,D$90:D$118,"",0)</f>
        <v/>
      </c>
      <c r="E173">
        <f>_xlfn.XLOOKUP($A173,$B$2:$B$89,E$2:E$89,"",0)&amp;_xlfn.XLOOKUP($A173,$A$90:$A$118,E$90:E$118,"",0)</f>
        <v/>
      </c>
      <c r="F173" s="37">
        <f>_xlfn.XLOOKUP($A173,$B$2:$B$89,F$2:F$89,"",0)&amp;_xlfn.XLOOKUP($A173,$A$90:$A$118,F$90:F$118,"",0)</f>
        <v/>
      </c>
      <c r="G173" s="51">
        <f>_xlfn.XLOOKUP(C173,Articles!A:A,Articles!D:D,0,0)</f>
        <v/>
      </c>
      <c r="H173" s="52">
        <f>IF(E173&lt;&gt;"",E173*G173,0)</f>
        <v/>
      </c>
      <c r="I173" s="51">
        <f>_xlfn.XLOOKUP(C173,Articles!A:A,Articles!E:E,0,0)</f>
        <v/>
      </c>
      <c r="J173" s="37">
        <f>IF(E173&lt;&gt;"",I173*E173,0)</f>
        <v/>
      </c>
    </row>
    <row r="174">
      <c r="A174">
        <f>B174*IF(Calc!$D$105="?",0,1)</f>
        <v/>
      </c>
      <c r="B174" s="36" t="n">
        <v>56</v>
      </c>
      <c r="C174">
        <f>_xlfn.XLOOKUP($A174,$B$2:$B$89,C$2:C$89,"",0)&amp;_xlfn.XLOOKUP($A174,$A$90:$A$118,C$90:C$118,"",0)</f>
        <v/>
      </c>
      <c r="D174">
        <f>_xlfn.XLOOKUP($A174,$B$2:$B$89,D$2:D$89,"",0)&amp;_xlfn.XLOOKUP($A174,$A$90:$A$118,D$90:D$118,"",0)</f>
        <v/>
      </c>
      <c r="E174">
        <f>_xlfn.XLOOKUP($A174,$B$2:$B$89,E$2:E$89,"",0)&amp;_xlfn.XLOOKUP($A174,$A$90:$A$118,E$90:E$118,"",0)</f>
        <v/>
      </c>
      <c r="F174" s="37">
        <f>_xlfn.XLOOKUP($A174,$B$2:$B$89,F$2:F$89,"",0)&amp;_xlfn.XLOOKUP($A174,$A$90:$A$118,F$90:F$118,"",0)</f>
        <v/>
      </c>
      <c r="G174" s="51">
        <f>_xlfn.XLOOKUP(C174,Articles!A:A,Articles!D:D,0,0)</f>
        <v/>
      </c>
      <c r="H174" s="52">
        <f>IF(E174&lt;&gt;"",E174*G174,0)</f>
        <v/>
      </c>
      <c r="I174" s="51">
        <f>_xlfn.XLOOKUP(C174,Articles!A:A,Articles!E:E,0,0)</f>
        <v/>
      </c>
      <c r="J174" s="37">
        <f>IF(E174&lt;&gt;"",I174*E174,0)</f>
        <v/>
      </c>
    </row>
    <row r="175">
      <c r="A175">
        <f>B175*IF(Calc!$D$105="?",0,1)</f>
        <v/>
      </c>
      <c r="B175" s="36" t="n">
        <v>57</v>
      </c>
      <c r="C175">
        <f>_xlfn.XLOOKUP($A175,$B$2:$B$89,C$2:C$89,"",0)&amp;_xlfn.XLOOKUP($A175,$A$90:$A$118,C$90:C$118,"",0)</f>
        <v/>
      </c>
      <c r="D175">
        <f>_xlfn.XLOOKUP($A175,$B$2:$B$89,D$2:D$89,"",0)&amp;_xlfn.XLOOKUP($A175,$A$90:$A$118,D$90:D$118,"",0)</f>
        <v/>
      </c>
      <c r="E175">
        <f>_xlfn.XLOOKUP($A175,$B$2:$B$89,E$2:E$89,"",0)&amp;_xlfn.XLOOKUP($A175,$A$90:$A$118,E$90:E$118,"",0)</f>
        <v/>
      </c>
      <c r="F175" s="37">
        <f>_xlfn.XLOOKUP($A175,$B$2:$B$89,F$2:F$89,"",0)&amp;_xlfn.XLOOKUP($A175,$A$90:$A$118,F$90:F$118,"",0)</f>
        <v/>
      </c>
      <c r="G175" s="51">
        <f>_xlfn.XLOOKUP(C175,Articles!A:A,Articles!D:D,0,0)</f>
        <v/>
      </c>
      <c r="H175" s="52">
        <f>IF(E175&lt;&gt;"",E175*G175,0)</f>
        <v/>
      </c>
      <c r="I175" s="51">
        <f>_xlfn.XLOOKUP(C175,Articles!A:A,Articles!E:E,0,0)</f>
        <v/>
      </c>
      <c r="J175" s="37">
        <f>IF(E175&lt;&gt;"",I175*E175,0)</f>
        <v/>
      </c>
    </row>
    <row r="176">
      <c r="A176">
        <f>B176*IF(Calc!$D$105="?",0,1)</f>
        <v/>
      </c>
      <c r="B176" s="36" t="n">
        <v>58</v>
      </c>
      <c r="C176">
        <f>_xlfn.XLOOKUP($A176,$B$2:$B$89,C$2:C$89,"",0)&amp;_xlfn.XLOOKUP($A176,$A$90:$A$118,C$90:C$118,"",0)</f>
        <v/>
      </c>
      <c r="D176">
        <f>_xlfn.XLOOKUP($A176,$B$2:$B$89,D$2:D$89,"",0)&amp;_xlfn.XLOOKUP($A176,$A$90:$A$118,D$90:D$118,"",0)</f>
        <v/>
      </c>
      <c r="E176">
        <f>_xlfn.XLOOKUP($A176,$B$2:$B$89,E$2:E$89,"",0)&amp;_xlfn.XLOOKUP($A176,$A$90:$A$118,E$90:E$118,"",0)</f>
        <v/>
      </c>
      <c r="F176" s="37">
        <f>_xlfn.XLOOKUP($A176,$B$2:$B$89,F$2:F$89,"",0)&amp;_xlfn.XLOOKUP($A176,$A$90:$A$118,F$90:F$118,"",0)</f>
        <v/>
      </c>
      <c r="G176" s="51">
        <f>_xlfn.XLOOKUP(C176,Articles!A:A,Articles!D:D,0,0)</f>
        <v/>
      </c>
      <c r="H176" s="52">
        <f>IF(E176&lt;&gt;"",E176*G176,0)</f>
        <v/>
      </c>
      <c r="I176" s="51">
        <f>_xlfn.XLOOKUP(C176,Articles!A:A,Articles!E:E,0,0)</f>
        <v/>
      </c>
      <c r="J176" s="37">
        <f>IF(E176&lt;&gt;"",I176*E176,0)</f>
        <v/>
      </c>
    </row>
    <row r="177">
      <c r="A177">
        <f>B177*IF(Calc!$D$105="?",0,1)</f>
        <v/>
      </c>
      <c r="B177" s="36" t="n">
        <v>59</v>
      </c>
      <c r="C177">
        <f>_xlfn.XLOOKUP($A177,$B$2:$B$89,C$2:C$89,"",0)&amp;_xlfn.XLOOKUP($A177,$A$90:$A$118,C$90:C$118,"",0)</f>
        <v/>
      </c>
      <c r="D177">
        <f>_xlfn.XLOOKUP($A177,$B$2:$B$89,D$2:D$89,"",0)&amp;_xlfn.XLOOKUP($A177,$A$90:$A$118,D$90:D$118,"",0)</f>
        <v/>
      </c>
      <c r="E177">
        <f>_xlfn.XLOOKUP($A177,$B$2:$B$89,E$2:E$89,"",0)&amp;_xlfn.XLOOKUP($A177,$A$90:$A$118,E$90:E$118,"",0)</f>
        <v/>
      </c>
      <c r="F177" s="37">
        <f>_xlfn.XLOOKUP($A177,$B$2:$B$89,F$2:F$89,"",0)&amp;_xlfn.XLOOKUP($A177,$A$90:$A$118,F$90:F$118,"",0)</f>
        <v/>
      </c>
      <c r="G177" s="51">
        <f>_xlfn.XLOOKUP(C177,Articles!A:A,Articles!D:D,0,0)</f>
        <v/>
      </c>
      <c r="H177" s="52">
        <f>IF(E177&lt;&gt;"",E177*G177,0)</f>
        <v/>
      </c>
      <c r="I177" s="51">
        <f>_xlfn.XLOOKUP(C177,Articles!A:A,Articles!E:E,0,0)</f>
        <v/>
      </c>
      <c r="J177" s="37">
        <f>IF(E177&lt;&gt;"",I177*E177,0)</f>
        <v/>
      </c>
    </row>
    <row r="178">
      <c r="A178">
        <f>B178*IF(Calc!$D$105="?",0,1)</f>
        <v/>
      </c>
      <c r="B178" s="36" t="n">
        <v>60</v>
      </c>
      <c r="C178">
        <f>_xlfn.XLOOKUP($A178,$B$2:$B$89,C$2:C$89,"",0)&amp;_xlfn.XLOOKUP($A178,$A$90:$A$118,C$90:C$118,"",0)</f>
        <v/>
      </c>
      <c r="D178">
        <f>_xlfn.XLOOKUP($A178,$B$2:$B$89,D$2:D$89,"",0)&amp;_xlfn.XLOOKUP($A178,$A$90:$A$118,D$90:D$118,"",0)</f>
        <v/>
      </c>
      <c r="E178">
        <f>_xlfn.XLOOKUP($A178,$B$2:$B$89,E$2:E$89,"",0)&amp;_xlfn.XLOOKUP($A178,$A$90:$A$118,E$90:E$118,"",0)</f>
        <v/>
      </c>
      <c r="F178" s="37">
        <f>_xlfn.XLOOKUP($A178,$B$2:$B$89,F$2:F$89,"",0)&amp;_xlfn.XLOOKUP($A178,$A$90:$A$118,F$90:F$118,"",0)</f>
        <v/>
      </c>
      <c r="G178" s="51">
        <f>_xlfn.XLOOKUP(C178,Articles!A:A,Articles!D:D,0,0)</f>
        <v/>
      </c>
      <c r="H178" s="52">
        <f>IF(E178&lt;&gt;"",E178*G178,0)</f>
        <v/>
      </c>
      <c r="I178" s="51">
        <f>_xlfn.XLOOKUP(C178,Articles!A:A,Articles!E:E,0,0)</f>
        <v/>
      </c>
      <c r="J178" s="37">
        <f>IF(E178&lt;&gt;"",I178*E178,0)</f>
        <v/>
      </c>
    </row>
    <row r="179">
      <c r="A179">
        <f>B179*IF(Calc!$D$105="?",0,1)</f>
        <v/>
      </c>
      <c r="B179" s="36" t="n">
        <v>61</v>
      </c>
      <c r="C179">
        <f>_xlfn.XLOOKUP($A179,$B$2:$B$89,C$2:C$89,"",0)&amp;_xlfn.XLOOKUP($A179,$A$90:$A$118,C$90:C$118,"",0)</f>
        <v/>
      </c>
      <c r="D179">
        <f>_xlfn.XLOOKUP($A179,$B$2:$B$89,D$2:D$89,"",0)&amp;_xlfn.XLOOKUP($A179,$A$90:$A$118,D$90:D$118,"",0)</f>
        <v/>
      </c>
      <c r="E179">
        <f>_xlfn.XLOOKUP($A179,$B$2:$B$89,E$2:E$89,"",0)&amp;_xlfn.XLOOKUP($A179,$A$90:$A$118,E$90:E$118,"",0)</f>
        <v/>
      </c>
      <c r="F179" s="37">
        <f>_xlfn.XLOOKUP($A179,$B$2:$B$89,F$2:F$89,"",0)&amp;_xlfn.XLOOKUP($A179,$A$90:$A$118,F$90:F$118,"",0)</f>
        <v/>
      </c>
      <c r="G179" s="51">
        <f>_xlfn.XLOOKUP(C179,Articles!A:A,Articles!D:D,0,0)</f>
        <v/>
      </c>
      <c r="H179" s="52">
        <f>IF(E179&lt;&gt;"",E179*G179,0)</f>
        <v/>
      </c>
      <c r="I179" s="51">
        <f>_xlfn.XLOOKUP(C179,Articles!A:A,Articles!E:E,0,0)</f>
        <v/>
      </c>
      <c r="J179" s="37">
        <f>IF(E179&lt;&gt;"",I179*E179,0)</f>
        <v/>
      </c>
    </row>
    <row r="180">
      <c r="A180">
        <f>B180*IF(Calc!$D$105="?",0,1)</f>
        <v/>
      </c>
      <c r="B180" s="36" t="n">
        <v>62</v>
      </c>
      <c r="C180">
        <f>_xlfn.XLOOKUP($A180,$B$2:$B$89,C$2:C$89,"",0)&amp;_xlfn.XLOOKUP($A180,$A$90:$A$118,C$90:C$118,"",0)</f>
        <v/>
      </c>
      <c r="D180">
        <f>_xlfn.XLOOKUP($A180,$B$2:$B$89,D$2:D$89,"",0)&amp;_xlfn.XLOOKUP($A180,$A$90:$A$118,D$90:D$118,"",0)</f>
        <v/>
      </c>
      <c r="E180">
        <f>_xlfn.XLOOKUP($A180,$B$2:$B$89,E$2:E$89,"",0)&amp;_xlfn.XLOOKUP($A180,$A$90:$A$118,E$90:E$118,"",0)</f>
        <v/>
      </c>
      <c r="F180" s="37">
        <f>_xlfn.XLOOKUP($A180,$B$2:$B$89,F$2:F$89,"",0)&amp;_xlfn.XLOOKUP($A180,$A$90:$A$118,F$90:F$118,"",0)</f>
        <v/>
      </c>
      <c r="G180" s="51">
        <f>_xlfn.XLOOKUP(C180,Articles!A:A,Articles!D:D,0,0)</f>
        <v/>
      </c>
      <c r="H180" s="52">
        <f>IF(E180&lt;&gt;"",E180*G180,0)</f>
        <v/>
      </c>
      <c r="I180" s="51">
        <f>_xlfn.XLOOKUP(C180,Articles!A:A,Articles!E:E,0,0)</f>
        <v/>
      </c>
      <c r="J180" s="37">
        <f>IF(E180&lt;&gt;"",I180*E180,0)</f>
        <v/>
      </c>
    </row>
    <row r="181">
      <c r="A181">
        <f>B181*IF(Calc!$D$105="?",0,1)</f>
        <v/>
      </c>
      <c r="B181" s="36" t="n">
        <v>63</v>
      </c>
      <c r="C181">
        <f>_xlfn.XLOOKUP($A181,$B$2:$B$89,C$2:C$89,"",0)&amp;_xlfn.XLOOKUP($A181,$A$90:$A$118,C$90:C$118,"",0)</f>
        <v/>
      </c>
      <c r="D181">
        <f>_xlfn.XLOOKUP($A181,$B$2:$B$89,D$2:D$89,"",0)&amp;_xlfn.XLOOKUP($A181,$A$90:$A$118,D$90:D$118,"",0)</f>
        <v/>
      </c>
      <c r="E181">
        <f>_xlfn.XLOOKUP($A181,$B$2:$B$89,E$2:E$89,"",0)&amp;_xlfn.XLOOKUP($A181,$A$90:$A$118,E$90:E$118,"",0)</f>
        <v/>
      </c>
      <c r="F181" s="37">
        <f>_xlfn.XLOOKUP($A181,$B$2:$B$89,F$2:F$89,"",0)&amp;_xlfn.XLOOKUP($A181,$A$90:$A$118,F$90:F$118,"",0)</f>
        <v/>
      </c>
      <c r="G181" s="51">
        <f>_xlfn.XLOOKUP(C181,Articles!A:A,Articles!D:D,0,0)</f>
        <v/>
      </c>
      <c r="H181" s="52">
        <f>IF(E181&lt;&gt;"",E181*G181,0)</f>
        <v/>
      </c>
      <c r="I181" s="51">
        <f>_xlfn.XLOOKUP(C181,Articles!A:A,Articles!E:E,0,0)</f>
        <v/>
      </c>
      <c r="J181" s="37">
        <f>IF(E181&lt;&gt;"",I181*E181,0)</f>
        <v/>
      </c>
    </row>
    <row r="182">
      <c r="A182">
        <f>B182*IF(Calc!$D$105="?",0,1)</f>
        <v/>
      </c>
      <c r="B182" s="36" t="n">
        <v>64</v>
      </c>
      <c r="C182">
        <f>_xlfn.XLOOKUP($A182,$B$2:$B$89,C$2:C$89,"",0)&amp;_xlfn.XLOOKUP($A182,$A$90:$A$118,C$90:C$118,"",0)</f>
        <v/>
      </c>
      <c r="D182">
        <f>_xlfn.XLOOKUP($A182,$B$2:$B$89,D$2:D$89,"",0)&amp;_xlfn.XLOOKUP($A182,$A$90:$A$118,D$90:D$118,"",0)</f>
        <v/>
      </c>
      <c r="E182">
        <f>_xlfn.XLOOKUP($A182,$B$2:$B$89,E$2:E$89,"",0)&amp;_xlfn.XLOOKUP($A182,$A$90:$A$118,E$90:E$118,"",0)</f>
        <v/>
      </c>
      <c r="F182" s="37">
        <f>_xlfn.XLOOKUP($A182,$B$2:$B$89,F$2:F$89,"",0)&amp;_xlfn.XLOOKUP($A182,$A$90:$A$118,F$90:F$118,"",0)</f>
        <v/>
      </c>
      <c r="G182" s="51">
        <f>_xlfn.XLOOKUP(C182,Articles!A:A,Articles!D:D,0,0)</f>
        <v/>
      </c>
      <c r="H182" s="52">
        <f>IF(E182&lt;&gt;"",E182*G182,0)</f>
        <v/>
      </c>
      <c r="I182" s="51">
        <f>_xlfn.XLOOKUP(C182,Articles!A:A,Articles!E:E,0,0)</f>
        <v/>
      </c>
      <c r="J182" s="37">
        <f>IF(E182&lt;&gt;"",I182*E182,0)</f>
        <v/>
      </c>
    </row>
    <row r="183">
      <c r="A183">
        <f>B183*IF(Calc!$D$105="?",0,1)</f>
        <v/>
      </c>
      <c r="B183" s="36" t="n">
        <v>65</v>
      </c>
      <c r="C183">
        <f>_xlfn.XLOOKUP($A183,$B$2:$B$89,C$2:C$89,"",0)&amp;_xlfn.XLOOKUP($A183,$A$90:$A$118,C$90:C$118,"",0)</f>
        <v/>
      </c>
      <c r="D183">
        <f>_xlfn.XLOOKUP($A183,$B$2:$B$89,D$2:D$89,"",0)&amp;_xlfn.XLOOKUP($A183,$A$90:$A$118,D$90:D$118,"",0)</f>
        <v/>
      </c>
      <c r="E183">
        <f>_xlfn.XLOOKUP($A183,$B$2:$B$89,E$2:E$89,"",0)&amp;_xlfn.XLOOKUP($A183,$A$90:$A$118,E$90:E$118,"",0)</f>
        <v/>
      </c>
      <c r="F183" s="37">
        <f>_xlfn.XLOOKUP($A183,$B$2:$B$89,F$2:F$89,"",0)&amp;_xlfn.XLOOKUP($A183,$A$90:$A$118,F$90:F$118,"",0)</f>
        <v/>
      </c>
      <c r="G183" s="51">
        <f>_xlfn.XLOOKUP(C183,Articles!A:A,Articles!D:D,0,0)</f>
        <v/>
      </c>
      <c r="H183" s="52">
        <f>IF(E183&lt;&gt;"",E183*G183,0)</f>
        <v/>
      </c>
      <c r="I183" s="51">
        <f>_xlfn.XLOOKUP(C183,Articles!A:A,Articles!E:E,0,0)</f>
        <v/>
      </c>
      <c r="J183" s="37">
        <f>IF(E183&lt;&gt;"",I183*E183,0)</f>
        <v/>
      </c>
    </row>
    <row r="184">
      <c r="A184">
        <f>B184*IF(Calc!$D$105="?",0,1)</f>
        <v/>
      </c>
      <c r="B184" s="36" t="n">
        <v>66</v>
      </c>
      <c r="C184">
        <f>_xlfn.XLOOKUP($A184,$B$2:$B$89,C$2:C$89,"",0)&amp;_xlfn.XLOOKUP($A184,$A$90:$A$118,C$90:C$118,"",0)</f>
        <v/>
      </c>
      <c r="D184">
        <f>_xlfn.XLOOKUP($A184,$B$2:$B$89,D$2:D$89,"",0)&amp;_xlfn.XLOOKUP($A184,$A$90:$A$118,D$90:D$118,"",0)</f>
        <v/>
      </c>
      <c r="E184">
        <f>_xlfn.XLOOKUP($A184,$B$2:$B$89,E$2:E$89,"",0)&amp;_xlfn.XLOOKUP($A184,$A$90:$A$118,E$90:E$118,"",0)</f>
        <v/>
      </c>
      <c r="F184" s="37">
        <f>_xlfn.XLOOKUP($A184,$B$2:$B$89,F$2:F$89,"",0)&amp;_xlfn.XLOOKUP($A184,$A$90:$A$118,F$90:F$118,"",0)</f>
        <v/>
      </c>
      <c r="G184" s="51">
        <f>_xlfn.XLOOKUP(C184,Articles!A:A,Articles!D:D,0,0)</f>
        <v/>
      </c>
      <c r="H184" s="52">
        <f>IF(E184&lt;&gt;"",E184*G184,0)</f>
        <v/>
      </c>
      <c r="I184" s="51">
        <f>_xlfn.XLOOKUP(C184,Articles!A:A,Articles!E:E,0,0)</f>
        <v/>
      </c>
      <c r="J184" s="37">
        <f>IF(E184&lt;&gt;"",I184*E184,0)</f>
        <v/>
      </c>
    </row>
    <row r="185">
      <c r="A185">
        <f>B185*IF(Calc!$D$105="?",0,1)</f>
        <v/>
      </c>
      <c r="B185" s="36" t="n">
        <v>67</v>
      </c>
      <c r="C185">
        <f>_xlfn.XLOOKUP($A185,$B$2:$B$89,C$2:C$89,"",0)&amp;_xlfn.XLOOKUP($A185,$A$90:$A$118,C$90:C$118,"",0)</f>
        <v/>
      </c>
      <c r="D185">
        <f>_xlfn.XLOOKUP($A185,$B$2:$B$89,D$2:D$89,"",0)&amp;_xlfn.XLOOKUP($A185,$A$90:$A$118,D$90:D$118,"",0)</f>
        <v/>
      </c>
      <c r="E185">
        <f>_xlfn.XLOOKUP($A185,$B$2:$B$89,E$2:E$89,"",0)&amp;_xlfn.XLOOKUP($A185,$A$90:$A$118,E$90:E$118,"",0)</f>
        <v/>
      </c>
      <c r="F185" s="37">
        <f>_xlfn.XLOOKUP($A185,$B$2:$B$89,F$2:F$89,"",0)&amp;_xlfn.XLOOKUP($A185,$A$90:$A$118,F$90:F$118,"",0)</f>
        <v/>
      </c>
      <c r="G185" s="51">
        <f>_xlfn.XLOOKUP(C185,Articles!A:A,Articles!D:D,0,0)</f>
        <v/>
      </c>
      <c r="H185" s="52">
        <f>IF(E185&lt;&gt;"",E185*G185,0)</f>
        <v/>
      </c>
      <c r="I185" s="51">
        <f>_xlfn.XLOOKUP(C185,Articles!A:A,Articles!E:E,0,0)</f>
        <v/>
      </c>
      <c r="J185" s="37">
        <f>IF(E185&lt;&gt;"",I185*E185,0)</f>
        <v/>
      </c>
    </row>
    <row r="186">
      <c r="A186">
        <f>B186*IF(Calc!$D$105="?",0,1)</f>
        <v/>
      </c>
      <c r="B186" s="36" t="n">
        <v>68</v>
      </c>
      <c r="C186">
        <f>_xlfn.XLOOKUP($A186,$B$2:$B$89,C$2:C$89,"",0)&amp;_xlfn.XLOOKUP($A186,$A$90:$A$118,C$90:C$118,"",0)</f>
        <v/>
      </c>
      <c r="D186">
        <f>_xlfn.XLOOKUP($A186,$B$2:$B$89,D$2:D$89,"",0)&amp;_xlfn.XLOOKUP($A186,$A$90:$A$118,D$90:D$118,"",0)</f>
        <v/>
      </c>
      <c r="E186">
        <f>_xlfn.XLOOKUP($A186,$B$2:$B$89,E$2:E$89,"",0)&amp;_xlfn.XLOOKUP($A186,$A$90:$A$118,E$90:E$118,"",0)</f>
        <v/>
      </c>
      <c r="F186" s="37">
        <f>_xlfn.XLOOKUP($A186,$B$2:$B$89,F$2:F$89,"",0)&amp;_xlfn.XLOOKUP($A186,$A$90:$A$118,F$90:F$118,"",0)</f>
        <v/>
      </c>
      <c r="G186" s="51">
        <f>_xlfn.XLOOKUP(C186,Articles!A:A,Articles!D:D,0,0)</f>
        <v/>
      </c>
      <c r="H186" s="52">
        <f>IF(E186&lt;&gt;"",E186*G186,0)</f>
        <v/>
      </c>
      <c r="I186" s="51">
        <f>_xlfn.XLOOKUP(C186,Articles!A:A,Articles!E:E,0,0)</f>
        <v/>
      </c>
      <c r="J186" s="37">
        <f>IF(E186&lt;&gt;"",I186*E186,0)</f>
        <v/>
      </c>
    </row>
    <row r="187">
      <c r="A187">
        <f>B187*IF(Calc!$D$105="?",0,1)</f>
        <v/>
      </c>
      <c r="B187" s="36" t="n">
        <v>69</v>
      </c>
      <c r="C187">
        <f>_xlfn.XLOOKUP($A187,$B$2:$B$89,C$2:C$89,"",0)&amp;_xlfn.XLOOKUP($A187,$A$90:$A$118,C$90:C$118,"",0)</f>
        <v/>
      </c>
      <c r="D187">
        <f>_xlfn.XLOOKUP($A187,$B$2:$B$89,D$2:D$89,"",0)&amp;_xlfn.XLOOKUP($A187,$A$90:$A$118,D$90:D$118,"",0)</f>
        <v/>
      </c>
      <c r="E187">
        <f>_xlfn.XLOOKUP($A187,$B$2:$B$89,E$2:E$89,"",0)&amp;_xlfn.XLOOKUP($A187,$A$90:$A$118,E$90:E$118,"",0)</f>
        <v/>
      </c>
      <c r="F187" s="37">
        <f>_xlfn.XLOOKUP($A187,$B$2:$B$89,F$2:F$89,"",0)&amp;_xlfn.XLOOKUP($A187,$A$90:$A$118,F$90:F$118,"",0)</f>
        <v/>
      </c>
      <c r="G187" s="51">
        <f>_xlfn.XLOOKUP(C187,Articles!A:A,Articles!D:D,0,0)</f>
        <v/>
      </c>
      <c r="H187" s="52">
        <f>IF(E187&lt;&gt;"",E187*G187,0)</f>
        <v/>
      </c>
      <c r="I187" s="51">
        <f>_xlfn.XLOOKUP(C187,Articles!A:A,Articles!E:E,0,0)</f>
        <v/>
      </c>
      <c r="J187" s="37">
        <f>IF(E187&lt;&gt;"",I187*E187,0)</f>
        <v/>
      </c>
    </row>
    <row r="188">
      <c r="A188">
        <f>B188*IF(Calc!$D$105="?",0,1)</f>
        <v/>
      </c>
      <c r="B188" s="36" t="n">
        <v>70</v>
      </c>
      <c r="C188">
        <f>_xlfn.XLOOKUP($A188,$B$2:$B$89,C$2:C$89,"",0)&amp;_xlfn.XLOOKUP($A188,$A$90:$A$118,C$90:C$118,"",0)</f>
        <v/>
      </c>
      <c r="D188">
        <f>_xlfn.XLOOKUP($A188,$B$2:$B$89,D$2:D$89,"",0)&amp;_xlfn.XLOOKUP($A188,$A$90:$A$118,D$90:D$118,"",0)</f>
        <v/>
      </c>
      <c r="E188">
        <f>_xlfn.XLOOKUP($A188,$B$2:$B$89,E$2:E$89,"",0)&amp;_xlfn.XLOOKUP($A188,$A$90:$A$118,E$90:E$118,"",0)</f>
        <v/>
      </c>
      <c r="F188" s="37">
        <f>_xlfn.XLOOKUP($A188,$B$2:$B$89,F$2:F$89,"",0)&amp;_xlfn.XLOOKUP($A188,$A$90:$A$118,F$90:F$118,"",0)</f>
        <v/>
      </c>
      <c r="G188" s="51">
        <f>_xlfn.XLOOKUP(C188,Articles!A:A,Articles!D:D,0,0)</f>
        <v/>
      </c>
      <c r="H188" s="52">
        <f>IF(E188&lt;&gt;"",E188*G188,0)</f>
        <v/>
      </c>
      <c r="I188" s="51">
        <f>_xlfn.XLOOKUP(C188,Articles!A:A,Articles!E:E,0,0)</f>
        <v/>
      </c>
      <c r="J188" s="37">
        <f>IF(E188&lt;&gt;"",I188*E188,0)</f>
        <v/>
      </c>
    </row>
    <row r="189">
      <c r="A189">
        <f>B189*IF(Calc!$D$105="?",0,1)</f>
        <v/>
      </c>
      <c r="B189" s="36" t="n">
        <v>71</v>
      </c>
      <c r="C189">
        <f>_xlfn.XLOOKUP($A189,$B$2:$B$89,C$2:C$89,"",0)&amp;_xlfn.XLOOKUP($A189,$A$90:$A$118,C$90:C$118,"",0)</f>
        <v/>
      </c>
      <c r="D189">
        <f>_xlfn.XLOOKUP($A189,$B$2:$B$89,D$2:D$89,"",0)&amp;_xlfn.XLOOKUP($A189,$A$90:$A$118,D$90:D$118,"",0)</f>
        <v/>
      </c>
      <c r="E189">
        <f>_xlfn.XLOOKUP($A189,$B$2:$B$89,E$2:E$89,"",0)&amp;_xlfn.XLOOKUP($A189,$A$90:$A$118,E$90:E$118,"",0)</f>
        <v/>
      </c>
      <c r="F189" s="37">
        <f>_xlfn.XLOOKUP($A189,$B$2:$B$89,F$2:F$89,"",0)&amp;_xlfn.XLOOKUP($A189,$A$90:$A$118,F$90:F$118,"",0)</f>
        <v/>
      </c>
      <c r="G189" s="51">
        <f>_xlfn.XLOOKUP(C189,Articles!A:A,Articles!D:D,0,0)</f>
        <v/>
      </c>
      <c r="H189" s="52">
        <f>IF(E189&lt;&gt;"",E189*G189,0)</f>
        <v/>
      </c>
      <c r="I189" s="51">
        <f>_xlfn.XLOOKUP(C189,Articles!A:A,Articles!E:E,0,0)</f>
        <v/>
      </c>
      <c r="J189" s="37">
        <f>IF(E189&lt;&gt;"",I189*E189,0)</f>
        <v/>
      </c>
    </row>
    <row r="190">
      <c r="A190">
        <f>B190*IF(Calc!$D$105="?",0,1)</f>
        <v/>
      </c>
      <c r="B190" s="36" t="n">
        <v>72</v>
      </c>
      <c r="C190">
        <f>_xlfn.XLOOKUP($A190,$B$2:$B$89,C$2:C$89,"",0)&amp;_xlfn.XLOOKUP($A190,$A$90:$A$118,C$90:C$118,"",0)</f>
        <v/>
      </c>
      <c r="D190">
        <f>_xlfn.XLOOKUP($A190,$B$2:$B$89,D$2:D$89,"",0)&amp;_xlfn.XLOOKUP($A190,$A$90:$A$118,D$90:D$118,"",0)</f>
        <v/>
      </c>
      <c r="E190">
        <f>_xlfn.XLOOKUP($A190,$B$2:$B$89,E$2:E$89,"",0)&amp;_xlfn.XLOOKUP($A190,$A$90:$A$118,E$90:E$118,"",0)</f>
        <v/>
      </c>
      <c r="F190" s="37">
        <f>_xlfn.XLOOKUP($A190,$B$2:$B$89,F$2:F$89,"",0)&amp;_xlfn.XLOOKUP($A190,$A$90:$A$118,F$90:F$118,"",0)</f>
        <v/>
      </c>
      <c r="G190" s="51">
        <f>_xlfn.XLOOKUP(C190,Articles!A:A,Articles!D:D,0,0)</f>
        <v/>
      </c>
      <c r="H190" s="52">
        <f>IF(E190&lt;&gt;"",E190*G190,0)</f>
        <v/>
      </c>
      <c r="I190" s="51">
        <f>_xlfn.XLOOKUP(C190,Articles!A:A,Articles!E:E,0,0)</f>
        <v/>
      </c>
      <c r="J190" s="37">
        <f>IF(E190&lt;&gt;"",I190*E190,0)</f>
        <v/>
      </c>
    </row>
    <row r="191">
      <c r="A191">
        <f>B191*IF(Calc!$D$105="?",0,1)</f>
        <v/>
      </c>
      <c r="B191" s="36" t="n">
        <v>73</v>
      </c>
      <c r="C191">
        <f>_xlfn.XLOOKUP($A191,$B$2:$B$89,C$2:C$89,"",0)&amp;_xlfn.XLOOKUP($A191,$A$90:$A$118,C$90:C$118,"",0)</f>
        <v/>
      </c>
      <c r="D191">
        <f>_xlfn.XLOOKUP($A191,$B$2:$B$89,D$2:D$89,"",0)&amp;_xlfn.XLOOKUP($A191,$A$90:$A$118,D$90:D$118,"",0)</f>
        <v/>
      </c>
      <c r="E191">
        <f>_xlfn.XLOOKUP($A191,$B$2:$B$89,E$2:E$89,"",0)&amp;_xlfn.XLOOKUP($A191,$A$90:$A$118,E$90:E$118,"",0)</f>
        <v/>
      </c>
      <c r="F191" s="37">
        <f>_xlfn.XLOOKUP($A191,$B$2:$B$89,F$2:F$89,"",0)&amp;_xlfn.XLOOKUP($A191,$A$90:$A$118,F$90:F$118,"",0)</f>
        <v/>
      </c>
      <c r="G191" s="51">
        <f>_xlfn.XLOOKUP(C191,Articles!A:A,Articles!D:D,0,0)</f>
        <v/>
      </c>
      <c r="H191" s="52">
        <f>IF(E191&lt;&gt;"",E191*G191,0)</f>
        <v/>
      </c>
      <c r="I191" s="51">
        <f>_xlfn.XLOOKUP(C191,Articles!A:A,Articles!E:E,0,0)</f>
        <v/>
      </c>
      <c r="J191" s="37">
        <f>IF(E191&lt;&gt;"",I191*E191,0)</f>
        <v/>
      </c>
    </row>
    <row r="192">
      <c r="A192">
        <f>B192*IF(Calc!$D$105="?",0,1)</f>
        <v/>
      </c>
      <c r="B192" s="36" t="n">
        <v>74</v>
      </c>
      <c r="C192">
        <f>_xlfn.XLOOKUP($A192,$B$2:$B$89,C$2:C$89,"",0)&amp;_xlfn.XLOOKUP($A192,$A$90:$A$118,C$90:C$118,"",0)</f>
        <v/>
      </c>
      <c r="D192">
        <f>_xlfn.XLOOKUP($A192,$B$2:$B$89,D$2:D$89,"",0)&amp;_xlfn.XLOOKUP($A192,$A$90:$A$118,D$90:D$118,"",0)</f>
        <v/>
      </c>
      <c r="E192">
        <f>_xlfn.XLOOKUP($A192,$B$2:$B$89,E$2:E$89,"",0)&amp;_xlfn.XLOOKUP($A192,$A$90:$A$118,E$90:E$118,"",0)</f>
        <v/>
      </c>
      <c r="F192" s="37">
        <f>_xlfn.XLOOKUP($A192,$B$2:$B$89,F$2:F$89,"",0)&amp;_xlfn.XLOOKUP($A192,$A$90:$A$118,F$90:F$118,"",0)</f>
        <v/>
      </c>
      <c r="G192" s="51">
        <f>_xlfn.XLOOKUP(C192,Articles!A:A,Articles!D:D,0,0)</f>
        <v/>
      </c>
      <c r="H192" s="52">
        <f>IF(E192&lt;&gt;"",E192*G192,0)</f>
        <v/>
      </c>
      <c r="I192" s="51">
        <f>_xlfn.XLOOKUP(C192,Articles!A:A,Articles!E:E,0,0)</f>
        <v/>
      </c>
      <c r="J192" s="37">
        <f>IF(E192&lt;&gt;"",I192*E192,0)</f>
        <v/>
      </c>
    </row>
    <row r="193">
      <c r="A193">
        <f>B193*IF(Calc!$D$105="?",0,1)</f>
        <v/>
      </c>
      <c r="B193" s="36" t="n">
        <v>75</v>
      </c>
      <c r="C193">
        <f>_xlfn.XLOOKUP($A193,$B$2:$B$89,C$2:C$89,"",0)&amp;_xlfn.XLOOKUP($A193,$A$90:$A$118,C$90:C$118,"",0)</f>
        <v/>
      </c>
      <c r="D193">
        <f>_xlfn.XLOOKUP($A193,$B$2:$B$89,D$2:D$89,"",0)&amp;_xlfn.XLOOKUP($A193,$A$90:$A$118,D$90:D$118,"",0)</f>
        <v/>
      </c>
      <c r="E193">
        <f>_xlfn.XLOOKUP($A193,$B$2:$B$89,E$2:E$89,"",0)&amp;_xlfn.XLOOKUP($A193,$A$90:$A$118,E$90:E$118,"",0)</f>
        <v/>
      </c>
      <c r="F193" s="37">
        <f>_xlfn.XLOOKUP($A193,$B$2:$B$89,F$2:F$89,"",0)&amp;_xlfn.XLOOKUP($A193,$A$90:$A$118,F$90:F$118,"",0)</f>
        <v/>
      </c>
      <c r="G193" s="51">
        <f>_xlfn.XLOOKUP(C193,Articles!A:A,Articles!D:D,0,0)</f>
        <v/>
      </c>
      <c r="H193" s="52">
        <f>IF(E193&lt;&gt;"",E193*G193,0)</f>
        <v/>
      </c>
      <c r="I193" s="51">
        <f>_xlfn.XLOOKUP(C193,Articles!A:A,Articles!E:E,0,0)</f>
        <v/>
      </c>
      <c r="J193" s="37">
        <f>IF(E193&lt;&gt;"",I193*E193,0)</f>
        <v/>
      </c>
    </row>
    <row r="194">
      <c r="A194">
        <f>B194*IF(Calc!$D$105="?",0,1)</f>
        <v/>
      </c>
      <c r="B194" s="36" t="n">
        <v>76</v>
      </c>
      <c r="C194">
        <f>_xlfn.XLOOKUP($A194,$B$2:$B$89,C$2:C$89,"",0)&amp;_xlfn.XLOOKUP($A194,$A$90:$A$118,C$90:C$118,"",0)</f>
        <v/>
      </c>
      <c r="D194">
        <f>_xlfn.XLOOKUP($A194,$B$2:$B$89,D$2:D$89,"",0)&amp;_xlfn.XLOOKUP($A194,$A$90:$A$118,D$90:D$118,"",0)</f>
        <v/>
      </c>
      <c r="E194">
        <f>_xlfn.XLOOKUP($A194,$B$2:$B$89,E$2:E$89,"",0)&amp;_xlfn.XLOOKUP($A194,$A$90:$A$118,E$90:E$118,"",0)</f>
        <v/>
      </c>
      <c r="F194" s="37">
        <f>_xlfn.XLOOKUP($A194,$B$2:$B$89,F$2:F$89,"",0)&amp;_xlfn.XLOOKUP($A194,$A$90:$A$118,F$90:F$118,"",0)</f>
        <v/>
      </c>
      <c r="G194" s="51">
        <f>_xlfn.XLOOKUP(C194,Articles!A:A,Articles!D:D,0,0)</f>
        <v/>
      </c>
      <c r="H194" s="52">
        <f>IF(E194&lt;&gt;"",E194*G194,0)</f>
        <v/>
      </c>
      <c r="I194" s="51">
        <f>_xlfn.XLOOKUP(C194,Articles!A:A,Articles!E:E,0,0)</f>
        <v/>
      </c>
      <c r="J194" s="37">
        <f>IF(E194&lt;&gt;"",I194*E194,0)</f>
        <v/>
      </c>
    </row>
    <row r="195">
      <c r="A195">
        <f>B195*IF(Calc!$D$105="?",0,1)</f>
        <v/>
      </c>
      <c r="B195" s="36" t="n">
        <v>77</v>
      </c>
      <c r="C195">
        <f>_xlfn.XLOOKUP($A195,$B$2:$B$89,C$2:C$89,"",0)&amp;_xlfn.XLOOKUP($A195,$A$90:$A$118,C$90:C$118,"",0)</f>
        <v/>
      </c>
      <c r="D195">
        <f>_xlfn.XLOOKUP($A195,$B$2:$B$89,D$2:D$89,"",0)&amp;_xlfn.XLOOKUP($A195,$A$90:$A$118,D$90:D$118,"",0)</f>
        <v/>
      </c>
      <c r="E195">
        <f>_xlfn.XLOOKUP($A195,$B$2:$B$89,E$2:E$89,"",0)&amp;_xlfn.XLOOKUP($A195,$A$90:$A$118,E$90:E$118,"",0)</f>
        <v/>
      </c>
      <c r="F195" s="37">
        <f>_xlfn.XLOOKUP($A195,$B$2:$B$89,F$2:F$89,"",0)&amp;_xlfn.XLOOKUP($A195,$A$90:$A$118,F$90:F$118,"",0)</f>
        <v/>
      </c>
      <c r="G195" s="51">
        <f>_xlfn.XLOOKUP(C195,Articles!A:A,Articles!D:D,0,0)</f>
        <v/>
      </c>
      <c r="H195" s="52">
        <f>IF(E195&lt;&gt;"",E195*G195,0)</f>
        <v/>
      </c>
      <c r="I195" s="51">
        <f>_xlfn.XLOOKUP(C195,Articles!A:A,Articles!E:E,0,0)</f>
        <v/>
      </c>
      <c r="J195" s="37">
        <f>IF(E195&lt;&gt;"",I195*E195,0)</f>
        <v/>
      </c>
    </row>
    <row r="196">
      <c r="A196">
        <f>B196*IF(Calc!$D$105="?",0,1)</f>
        <v/>
      </c>
      <c r="B196" s="36" t="n">
        <v>78</v>
      </c>
      <c r="C196">
        <f>_xlfn.XLOOKUP($A196,$B$2:$B$89,C$2:C$89,"",0)&amp;_xlfn.XLOOKUP($A196,$A$90:$A$118,C$90:C$118,"",0)</f>
        <v/>
      </c>
      <c r="D196">
        <f>_xlfn.XLOOKUP($A196,$B$2:$B$89,D$2:D$89,"",0)&amp;_xlfn.XLOOKUP($A196,$A$90:$A$118,D$90:D$118,"",0)</f>
        <v/>
      </c>
      <c r="E196">
        <f>_xlfn.XLOOKUP($A196,$B$2:$B$89,E$2:E$89,"",0)&amp;_xlfn.XLOOKUP($A196,$A$90:$A$118,E$90:E$118,"",0)</f>
        <v/>
      </c>
      <c r="F196" s="37">
        <f>_xlfn.XLOOKUP($A196,$B$2:$B$89,F$2:F$89,"",0)&amp;_xlfn.XLOOKUP($A196,$A$90:$A$118,F$90:F$118,"",0)</f>
        <v/>
      </c>
      <c r="G196" s="51">
        <f>_xlfn.XLOOKUP(C196,Articles!A:A,Articles!D:D,0,0)</f>
        <v/>
      </c>
      <c r="H196" s="52">
        <f>IF(E196&lt;&gt;"",E196*G196,0)</f>
        <v/>
      </c>
      <c r="I196" s="51">
        <f>_xlfn.XLOOKUP(C196,Articles!A:A,Articles!E:E,0,0)</f>
        <v/>
      </c>
      <c r="J196" s="37">
        <f>IF(E196&lt;&gt;"",I196*E196,0)</f>
        <v/>
      </c>
    </row>
    <row r="197">
      <c r="A197">
        <f>B197*IF(Calc!$D$105="?",0,1)</f>
        <v/>
      </c>
      <c r="B197" s="36" t="n">
        <v>79</v>
      </c>
      <c r="C197">
        <f>_xlfn.XLOOKUP($A197,$B$2:$B$89,C$2:C$89,"",0)&amp;_xlfn.XLOOKUP($A197,$A$90:$A$118,C$90:C$118,"",0)</f>
        <v/>
      </c>
      <c r="D197">
        <f>_xlfn.XLOOKUP($A197,$B$2:$B$89,D$2:D$89,"",0)&amp;_xlfn.XLOOKUP($A197,$A$90:$A$118,D$90:D$118,"",0)</f>
        <v/>
      </c>
      <c r="E197">
        <f>_xlfn.XLOOKUP($A197,$B$2:$B$89,E$2:E$89,"",0)&amp;_xlfn.XLOOKUP($A197,$A$90:$A$118,E$90:E$118,"",0)</f>
        <v/>
      </c>
      <c r="F197" s="37">
        <f>_xlfn.XLOOKUP($A197,$B$2:$B$89,F$2:F$89,"",0)&amp;_xlfn.XLOOKUP($A197,$A$90:$A$118,F$90:F$118,"",0)</f>
        <v/>
      </c>
      <c r="G197" s="51">
        <f>_xlfn.XLOOKUP(C197,Articles!A:A,Articles!D:D,0,0)</f>
        <v/>
      </c>
      <c r="H197" s="52">
        <f>IF(E197&lt;&gt;"",E197*G197,0)</f>
        <v/>
      </c>
      <c r="I197" s="51">
        <f>_xlfn.XLOOKUP(C197,Articles!A:A,Articles!E:E,0,0)</f>
        <v/>
      </c>
      <c r="J197" s="37">
        <f>IF(E197&lt;&gt;"",I197*E197,0)</f>
        <v/>
      </c>
    </row>
    <row r="198">
      <c r="A198">
        <f>B198*IF(Calc!$D$105="?",0,1)</f>
        <v/>
      </c>
      <c r="B198" s="36" t="n">
        <v>80</v>
      </c>
      <c r="C198">
        <f>_xlfn.XLOOKUP($A198,$B$2:$B$89,C$2:C$89,"",0)&amp;_xlfn.XLOOKUP($A198,$A$90:$A$118,C$90:C$118,"",0)</f>
        <v/>
      </c>
      <c r="D198">
        <f>_xlfn.XLOOKUP($A198,$B$2:$B$89,D$2:D$89,"",0)&amp;_xlfn.XLOOKUP($A198,$A$90:$A$118,D$90:D$118,"",0)</f>
        <v/>
      </c>
      <c r="E198">
        <f>_xlfn.XLOOKUP($A198,$B$2:$B$89,E$2:E$89,"",0)&amp;_xlfn.XLOOKUP($A198,$A$90:$A$118,E$90:E$118,"",0)</f>
        <v/>
      </c>
      <c r="F198" s="37">
        <f>_xlfn.XLOOKUP($A198,$B$2:$B$89,F$2:F$89,"",0)&amp;_xlfn.XLOOKUP($A198,$A$90:$A$118,F$90:F$118,"",0)</f>
        <v/>
      </c>
      <c r="G198" s="51">
        <f>_xlfn.XLOOKUP(C198,Articles!A:A,Articles!D:D,0,0)</f>
        <v/>
      </c>
      <c r="H198" s="52">
        <f>IF(E198&lt;&gt;"",E198*G198,0)</f>
        <v/>
      </c>
      <c r="I198" s="51">
        <f>_xlfn.XLOOKUP(C198,Articles!A:A,Articles!E:E,0,0)</f>
        <v/>
      </c>
      <c r="J198" s="37">
        <f>IF(E198&lt;&gt;"",I198*E198,0)</f>
        <v/>
      </c>
    </row>
    <row r="199">
      <c r="A199">
        <f>B199*IF(Calc!$D$105="?",0,1)</f>
        <v/>
      </c>
      <c r="B199" s="36" t="n">
        <v>81</v>
      </c>
      <c r="C199">
        <f>_xlfn.XLOOKUP($A199,$B$2:$B$89,C$2:C$89,"",0)&amp;_xlfn.XLOOKUP($A199,$A$90:$A$118,C$90:C$118,"",0)</f>
        <v/>
      </c>
      <c r="D199">
        <f>_xlfn.XLOOKUP($A199,$B$2:$B$89,D$2:D$89,"",0)&amp;_xlfn.XLOOKUP($A199,$A$90:$A$118,D$90:D$118,"",0)</f>
        <v/>
      </c>
      <c r="E199">
        <f>_xlfn.XLOOKUP($A199,$B$2:$B$89,E$2:E$89,"",0)&amp;_xlfn.XLOOKUP($A199,$A$90:$A$118,E$90:E$118,"",0)</f>
        <v/>
      </c>
      <c r="F199" s="37">
        <f>_xlfn.XLOOKUP($A199,$B$2:$B$89,F$2:F$89,"",0)&amp;_xlfn.XLOOKUP($A199,$A$90:$A$118,F$90:F$118,"",0)</f>
        <v/>
      </c>
      <c r="G199" s="51">
        <f>_xlfn.XLOOKUP(C199,Articles!A:A,Articles!D:D,0,0)</f>
        <v/>
      </c>
      <c r="H199" s="52">
        <f>IF(E199&lt;&gt;"",E199*G199,0)</f>
        <v/>
      </c>
      <c r="I199" s="51">
        <f>_xlfn.XLOOKUP(C199,Articles!A:A,Articles!E:E,0,0)</f>
        <v/>
      </c>
      <c r="J199" s="37">
        <f>IF(E199&lt;&gt;"",I199*E199,0)</f>
        <v/>
      </c>
    </row>
    <row r="200">
      <c r="A200">
        <f>B200*IF(Calc!$D$105="?",0,1)</f>
        <v/>
      </c>
      <c r="B200" s="36" t="n">
        <v>82</v>
      </c>
      <c r="C200">
        <f>_xlfn.XLOOKUP($A200,$B$2:$B$89,C$2:C$89,"",0)&amp;_xlfn.XLOOKUP($A200,$A$90:$A$118,C$90:C$118,"",0)</f>
        <v/>
      </c>
      <c r="D200">
        <f>_xlfn.XLOOKUP($A200,$B$2:$B$89,D$2:D$89,"",0)&amp;_xlfn.XLOOKUP($A200,$A$90:$A$118,D$90:D$118,"",0)</f>
        <v/>
      </c>
      <c r="E200">
        <f>_xlfn.XLOOKUP($A200,$B$2:$B$89,E$2:E$89,"",0)&amp;_xlfn.XLOOKUP($A200,$A$90:$A$118,E$90:E$118,"",0)</f>
        <v/>
      </c>
      <c r="F200" s="37">
        <f>_xlfn.XLOOKUP($A200,$B$2:$B$89,F$2:F$89,"",0)&amp;_xlfn.XLOOKUP($A200,$A$90:$A$118,F$90:F$118,"",0)</f>
        <v/>
      </c>
      <c r="G200" s="51">
        <f>_xlfn.XLOOKUP(C200,Articles!A:A,Articles!D:D,0,0)</f>
        <v/>
      </c>
      <c r="H200" s="52">
        <f>IF(E200&lt;&gt;"",E200*G200,0)</f>
        <v/>
      </c>
      <c r="I200" s="51">
        <f>_xlfn.XLOOKUP(C200,Articles!A:A,Articles!E:E,0,0)</f>
        <v/>
      </c>
      <c r="J200" s="37">
        <f>IF(E200&lt;&gt;"",I200*E200,0)</f>
        <v/>
      </c>
    </row>
    <row r="201">
      <c r="A201">
        <f>B201*IF(Calc!$D$105="?",0,1)</f>
        <v/>
      </c>
      <c r="B201" s="36" t="n">
        <v>83</v>
      </c>
      <c r="C201">
        <f>_xlfn.XLOOKUP($A201,$B$2:$B$89,C$2:C$89,"",0)&amp;_xlfn.XLOOKUP($A201,$A$90:$A$118,C$90:C$118,"",0)</f>
        <v/>
      </c>
      <c r="D201">
        <f>_xlfn.XLOOKUP($A201,$B$2:$B$89,D$2:D$89,"",0)&amp;_xlfn.XLOOKUP($A201,$A$90:$A$118,D$90:D$118,"",0)</f>
        <v/>
      </c>
      <c r="E201">
        <f>_xlfn.XLOOKUP($A201,$B$2:$B$89,E$2:E$89,"",0)&amp;_xlfn.XLOOKUP($A201,$A$90:$A$118,E$90:E$118,"",0)</f>
        <v/>
      </c>
      <c r="F201" s="37">
        <f>_xlfn.XLOOKUP($A201,$B$2:$B$89,F$2:F$89,"",0)&amp;_xlfn.XLOOKUP($A201,$A$90:$A$118,F$90:F$118,"",0)</f>
        <v/>
      </c>
      <c r="G201" s="51">
        <f>_xlfn.XLOOKUP(C201,Articles!A:A,Articles!D:D,0,0)</f>
        <v/>
      </c>
      <c r="H201" s="52">
        <f>IF(E201&lt;&gt;"",E201*G201,0)</f>
        <v/>
      </c>
      <c r="I201" s="51">
        <f>_xlfn.XLOOKUP(C201,Articles!A:A,Articles!E:E,0,0)</f>
        <v/>
      </c>
      <c r="J201" s="37">
        <f>IF(E201&lt;&gt;"",I201*E201,0)</f>
        <v/>
      </c>
    </row>
    <row r="202">
      <c r="A202">
        <f>B202*IF(Calc!$D$105="?",0,1)</f>
        <v/>
      </c>
      <c r="B202" s="36" t="n">
        <v>84</v>
      </c>
      <c r="C202">
        <f>_xlfn.XLOOKUP($A202,$B$2:$B$89,C$2:C$89,"",0)&amp;_xlfn.XLOOKUP($A202,$A$90:$A$118,C$90:C$118,"",0)</f>
        <v/>
      </c>
      <c r="D202">
        <f>_xlfn.XLOOKUP($A202,$B$2:$B$89,D$2:D$89,"",0)&amp;_xlfn.XLOOKUP($A202,$A$90:$A$118,D$90:D$118,"",0)</f>
        <v/>
      </c>
      <c r="E202">
        <f>_xlfn.XLOOKUP($A202,$B$2:$B$89,E$2:E$89,"",0)&amp;_xlfn.XLOOKUP($A202,$A$90:$A$118,E$90:E$118,"",0)</f>
        <v/>
      </c>
      <c r="F202" s="37">
        <f>_xlfn.XLOOKUP($A202,$B$2:$B$89,F$2:F$89,"",0)&amp;_xlfn.XLOOKUP($A202,$A$90:$A$118,F$90:F$118,"",0)</f>
        <v/>
      </c>
      <c r="G202" s="51">
        <f>_xlfn.XLOOKUP(C202,Articles!A:A,Articles!D:D,0,0)</f>
        <v/>
      </c>
      <c r="H202" s="52">
        <f>IF(E202&lt;&gt;"",E202*G202,0)</f>
        <v/>
      </c>
      <c r="I202" s="51">
        <f>_xlfn.XLOOKUP(C202,Articles!A:A,Articles!E:E,0,0)</f>
        <v/>
      </c>
      <c r="J202" s="37">
        <f>IF(E202&lt;&gt;"",I202*E202,0)</f>
        <v/>
      </c>
    </row>
    <row r="203">
      <c r="A203">
        <f>B203*IF(Calc!$D$105="?",0,1)</f>
        <v/>
      </c>
      <c r="B203" s="36" t="n">
        <v>85</v>
      </c>
      <c r="C203">
        <f>_xlfn.XLOOKUP($A203,$B$2:$B$89,C$2:C$89,"",0)&amp;_xlfn.XLOOKUP($A203,$A$90:$A$118,C$90:C$118,"",0)</f>
        <v/>
      </c>
      <c r="D203">
        <f>_xlfn.XLOOKUP($A203,$B$2:$B$89,D$2:D$89,"",0)&amp;_xlfn.XLOOKUP($A203,$A$90:$A$118,D$90:D$118,"",0)</f>
        <v/>
      </c>
      <c r="E203">
        <f>_xlfn.XLOOKUP($A203,$B$2:$B$89,E$2:E$89,"",0)&amp;_xlfn.XLOOKUP($A203,$A$90:$A$118,E$90:E$118,"",0)</f>
        <v/>
      </c>
      <c r="F203" s="37">
        <f>_xlfn.XLOOKUP($A203,$B$2:$B$89,F$2:F$89,"",0)&amp;_xlfn.XLOOKUP($A203,$A$90:$A$118,F$90:F$118,"",0)</f>
        <v/>
      </c>
      <c r="G203" s="51">
        <f>_xlfn.XLOOKUP(C203,Articles!A:A,Articles!D:D,0,0)</f>
        <v/>
      </c>
      <c r="H203" s="52">
        <f>IF(E203&lt;&gt;"",E203*G203,0)</f>
        <v/>
      </c>
      <c r="I203" s="51">
        <f>_xlfn.XLOOKUP(C203,Articles!A:A,Articles!E:E,0,0)</f>
        <v/>
      </c>
      <c r="J203" s="37">
        <f>IF(E203&lt;&gt;"",I203*E203,0)</f>
        <v/>
      </c>
    </row>
    <row r="204">
      <c r="A204">
        <f>B204*IF(Calc!$D$105="?",0,1)</f>
        <v/>
      </c>
      <c r="B204" s="36" t="n">
        <v>86</v>
      </c>
      <c r="C204">
        <f>_xlfn.XLOOKUP($A204,$B$2:$B$89,C$2:C$89,"",0)&amp;_xlfn.XLOOKUP($A204,$A$90:$A$118,C$90:C$118,"",0)</f>
        <v/>
      </c>
      <c r="D204">
        <f>_xlfn.XLOOKUP($A204,$B$2:$B$89,D$2:D$89,"",0)&amp;_xlfn.XLOOKUP($A204,$A$90:$A$118,D$90:D$118,"",0)</f>
        <v/>
      </c>
      <c r="E204">
        <f>_xlfn.XLOOKUP($A204,$B$2:$B$89,E$2:E$89,"",0)&amp;_xlfn.XLOOKUP($A204,$A$90:$A$118,E$90:E$118,"",0)</f>
        <v/>
      </c>
      <c r="F204" s="37">
        <f>_xlfn.XLOOKUP($A204,$B$2:$B$89,F$2:F$89,"",0)&amp;_xlfn.XLOOKUP($A204,$A$90:$A$118,F$90:F$118,"",0)</f>
        <v/>
      </c>
      <c r="G204" s="51">
        <f>_xlfn.XLOOKUP(C204,Articles!A:A,Articles!D:D,0,0)</f>
        <v/>
      </c>
      <c r="H204" s="52">
        <f>IF(E204&lt;&gt;"",E204*G204,0)</f>
        <v/>
      </c>
      <c r="I204" s="51">
        <f>_xlfn.XLOOKUP(C204,Articles!A:A,Articles!E:E,0,0)</f>
        <v/>
      </c>
      <c r="J204" s="37">
        <f>IF(E204&lt;&gt;"",I204*E204,0)</f>
        <v/>
      </c>
    </row>
    <row r="205">
      <c r="A205">
        <f>B205*IF(Calc!$D$105="?",0,1)</f>
        <v/>
      </c>
      <c r="B205" s="36" t="n">
        <v>87</v>
      </c>
      <c r="C205">
        <f>_xlfn.XLOOKUP($A205,$B$2:$B$89,C$2:C$89,"",0)&amp;_xlfn.XLOOKUP($A205,$A$90:$A$118,C$90:C$118,"",0)</f>
        <v/>
      </c>
      <c r="D205">
        <f>_xlfn.XLOOKUP($A205,$B$2:$B$89,D$2:D$89,"",0)&amp;_xlfn.XLOOKUP($A205,$A$90:$A$118,D$90:D$118,"",0)</f>
        <v/>
      </c>
      <c r="E205">
        <f>_xlfn.XLOOKUP($A205,$B$2:$B$89,E$2:E$89,"",0)&amp;_xlfn.XLOOKUP($A205,$A$90:$A$118,E$90:E$118,"",0)</f>
        <v/>
      </c>
      <c r="F205" s="37">
        <f>_xlfn.XLOOKUP($A205,$B$2:$B$89,F$2:F$89,"",0)&amp;_xlfn.XLOOKUP($A205,$A$90:$A$118,F$90:F$118,"",0)</f>
        <v/>
      </c>
      <c r="G205" s="51">
        <f>_xlfn.XLOOKUP(C205,Articles!A:A,Articles!D:D,0,0)</f>
        <v/>
      </c>
      <c r="H205" s="52">
        <f>IF(E205&lt;&gt;"",E205*G205,0)</f>
        <v/>
      </c>
      <c r="I205" s="51">
        <f>_xlfn.XLOOKUP(C205,Articles!A:A,Articles!E:E,0,0)</f>
        <v/>
      </c>
      <c r="J205" s="37">
        <f>IF(E205&lt;&gt;"",I205*E205,0)</f>
        <v/>
      </c>
    </row>
    <row r="206">
      <c r="A206">
        <f>B206*IF(Calc!$D$105="?",0,1)</f>
        <v/>
      </c>
      <c r="B206" s="36" t="n">
        <v>88</v>
      </c>
      <c r="C206">
        <f>_xlfn.XLOOKUP($A206,$B$2:$B$89,C$2:C$89,"",0)&amp;_xlfn.XLOOKUP($A206,$A$90:$A$118,C$90:C$118,"",0)</f>
        <v/>
      </c>
      <c r="D206">
        <f>_xlfn.XLOOKUP($A206,$B$2:$B$89,D$2:D$89,"",0)&amp;_xlfn.XLOOKUP($A206,$A$90:$A$118,D$90:D$118,"",0)</f>
        <v/>
      </c>
      <c r="E206">
        <f>_xlfn.XLOOKUP($A206,$B$2:$B$89,E$2:E$89,"",0)&amp;_xlfn.XLOOKUP($A206,$A$90:$A$118,E$90:E$118,"",0)</f>
        <v/>
      </c>
      <c r="F206" s="37">
        <f>_xlfn.XLOOKUP($A206,$B$2:$B$89,F$2:F$89,"",0)&amp;_xlfn.XLOOKUP($A206,$A$90:$A$118,F$90:F$118,"",0)</f>
        <v/>
      </c>
      <c r="G206" s="51">
        <f>_xlfn.XLOOKUP(C206,Articles!A:A,Articles!D:D,0,0)</f>
        <v/>
      </c>
      <c r="H206" s="52">
        <f>IF(E206&lt;&gt;"",E206*G206,0)</f>
        <v/>
      </c>
      <c r="I206" s="51">
        <f>_xlfn.XLOOKUP(C206,Articles!A:A,Articles!E:E,0,0)</f>
        <v/>
      </c>
      <c r="J206" s="37">
        <f>IF(E206&lt;&gt;"",I206*E206,0)</f>
        <v/>
      </c>
    </row>
    <row r="207">
      <c r="A207">
        <f>B207*IF(Calc!$D$105="?",0,1)</f>
        <v/>
      </c>
      <c r="B207" s="36" t="n">
        <v>89</v>
      </c>
      <c r="C207">
        <f>_xlfn.XLOOKUP($A207,$B$2:$B$89,C$2:C$89,"",0)&amp;_xlfn.XLOOKUP($A207,$A$90:$A$118,C$90:C$118,"",0)</f>
        <v/>
      </c>
      <c r="D207">
        <f>_xlfn.XLOOKUP($A207,$B$2:$B$89,D$2:D$89,"",0)&amp;_xlfn.XLOOKUP($A207,$A$90:$A$118,D$90:D$118,"",0)</f>
        <v/>
      </c>
      <c r="E207">
        <f>_xlfn.XLOOKUP($A207,$B$2:$B$89,E$2:E$89,"",0)&amp;_xlfn.XLOOKUP($A207,$A$90:$A$118,E$90:E$118,"",0)</f>
        <v/>
      </c>
      <c r="F207" s="37">
        <f>_xlfn.XLOOKUP($A207,$B$2:$B$89,F$2:F$89,"",0)&amp;_xlfn.XLOOKUP($A207,$A$90:$A$118,F$90:F$118,"",0)</f>
        <v/>
      </c>
      <c r="G207" s="51">
        <f>_xlfn.XLOOKUP(C207,Articles!A:A,Articles!D:D,0,0)</f>
        <v/>
      </c>
      <c r="H207" s="52">
        <f>IF(E207&lt;&gt;"",E207*G207,0)</f>
        <v/>
      </c>
      <c r="I207" s="51">
        <f>_xlfn.XLOOKUP(C207,Articles!A:A,Articles!E:E,0,0)</f>
        <v/>
      </c>
      <c r="J207" s="37">
        <f>IF(E207&lt;&gt;"",I207*E207,0)</f>
        <v/>
      </c>
    </row>
    <row r="208">
      <c r="A208">
        <f>B208*IF(Calc!$D$105="?",0,1)</f>
        <v/>
      </c>
      <c r="B208" s="36" t="n">
        <v>90</v>
      </c>
      <c r="C208">
        <f>_xlfn.XLOOKUP($A208,$B$2:$B$89,C$2:C$89,"",0)&amp;_xlfn.XLOOKUP($A208,$A$90:$A$118,C$90:C$118,"",0)</f>
        <v/>
      </c>
      <c r="D208">
        <f>_xlfn.XLOOKUP($A208,$B$2:$B$89,D$2:D$89,"",0)&amp;_xlfn.XLOOKUP($A208,$A$90:$A$118,D$90:D$118,"",0)</f>
        <v/>
      </c>
      <c r="E208">
        <f>_xlfn.XLOOKUP($A208,$B$2:$B$89,E$2:E$89,"",0)&amp;_xlfn.XLOOKUP($A208,$A$90:$A$118,E$90:E$118,"",0)</f>
        <v/>
      </c>
      <c r="F208" s="37">
        <f>_xlfn.XLOOKUP($A208,$B$2:$B$89,F$2:F$89,"",0)&amp;_xlfn.XLOOKUP($A208,$A$90:$A$118,F$90:F$118,"",0)</f>
        <v/>
      </c>
      <c r="G208" s="51">
        <f>_xlfn.XLOOKUP(C208,Articles!A:A,Articles!D:D,0,0)</f>
        <v/>
      </c>
      <c r="H208" s="52">
        <f>IF(E208&lt;&gt;"",E208*G208,0)</f>
        <v/>
      </c>
      <c r="I208" s="51">
        <f>_xlfn.XLOOKUP(C208,Articles!A:A,Articles!E:E,0,0)</f>
        <v/>
      </c>
      <c r="J208" s="37">
        <f>IF(E208&lt;&gt;"",I208*E208,0)</f>
        <v/>
      </c>
    </row>
    <row r="209">
      <c r="A209">
        <f>B209*IF(Calc!$D$105="?",0,1)</f>
        <v/>
      </c>
      <c r="B209" s="36" t="n">
        <v>91</v>
      </c>
      <c r="C209">
        <f>_xlfn.XLOOKUP($A209,$B$2:$B$89,C$2:C$89,"",0)&amp;_xlfn.XLOOKUP($A209,$A$90:$A$118,C$90:C$118,"",0)</f>
        <v/>
      </c>
      <c r="D209">
        <f>_xlfn.XLOOKUP($A209,$B$2:$B$89,D$2:D$89,"",0)&amp;_xlfn.XLOOKUP($A209,$A$90:$A$118,D$90:D$118,"",0)</f>
        <v/>
      </c>
      <c r="E209">
        <f>_xlfn.XLOOKUP($A209,$B$2:$B$89,E$2:E$89,"",0)&amp;_xlfn.XLOOKUP($A209,$A$90:$A$118,E$90:E$118,"",0)</f>
        <v/>
      </c>
      <c r="F209" s="37">
        <f>_xlfn.XLOOKUP($A209,$B$2:$B$89,F$2:F$89,"",0)&amp;_xlfn.XLOOKUP($A209,$A$90:$A$118,F$90:F$118,"",0)</f>
        <v/>
      </c>
      <c r="G209" s="51">
        <f>_xlfn.XLOOKUP(C209,Articles!A:A,Articles!D:D,0,0)</f>
        <v/>
      </c>
      <c r="H209" s="52">
        <f>IF(E209&lt;&gt;"",E209*G209,0)</f>
        <v/>
      </c>
      <c r="I209" s="51">
        <f>_xlfn.XLOOKUP(C209,Articles!A:A,Articles!E:E,0,0)</f>
        <v/>
      </c>
      <c r="J209" s="37">
        <f>IF(E209&lt;&gt;"",I209*E209,0)</f>
        <v/>
      </c>
    </row>
    <row r="210">
      <c r="A210">
        <f>B210*IF(Calc!$D$105="?",0,1)</f>
        <v/>
      </c>
      <c r="B210" s="36" t="n">
        <v>92</v>
      </c>
      <c r="C210">
        <f>_xlfn.XLOOKUP($A210,$B$2:$B$89,C$2:C$89,"",0)&amp;_xlfn.XLOOKUP($A210,$A$90:$A$118,C$90:C$118,"",0)</f>
        <v/>
      </c>
      <c r="D210">
        <f>_xlfn.XLOOKUP($A210,$B$2:$B$89,D$2:D$89,"",0)&amp;_xlfn.XLOOKUP($A210,$A$90:$A$118,D$90:D$118,"",0)</f>
        <v/>
      </c>
      <c r="E210">
        <f>_xlfn.XLOOKUP($A210,$B$2:$B$89,E$2:E$89,"",0)&amp;_xlfn.XLOOKUP($A210,$A$90:$A$118,E$90:E$118,"",0)</f>
        <v/>
      </c>
      <c r="F210" s="37">
        <f>_xlfn.XLOOKUP($A210,$B$2:$B$89,F$2:F$89,"",0)&amp;_xlfn.XLOOKUP($A210,$A$90:$A$118,F$90:F$118,"",0)</f>
        <v/>
      </c>
      <c r="G210" s="51">
        <f>_xlfn.XLOOKUP(C210,Articles!A:A,Articles!D:D,0,0)</f>
        <v/>
      </c>
      <c r="H210" s="52">
        <f>IF(E210&lt;&gt;"",E210*G210,0)</f>
        <v/>
      </c>
      <c r="I210" s="51">
        <f>_xlfn.XLOOKUP(C210,Articles!A:A,Articles!E:E,0,0)</f>
        <v/>
      </c>
      <c r="J210" s="37">
        <f>IF(E210&lt;&gt;"",I210*E210,0)</f>
        <v/>
      </c>
    </row>
    <row r="211">
      <c r="A211">
        <f>B211*IF(Calc!$D$105="?",0,1)</f>
        <v/>
      </c>
      <c r="B211" s="36" t="n">
        <v>93</v>
      </c>
      <c r="C211">
        <f>_xlfn.XLOOKUP($A211,$B$2:$B$89,C$2:C$89,"",0)&amp;_xlfn.XLOOKUP($A211,$A$90:$A$118,C$90:C$118,"",0)</f>
        <v/>
      </c>
      <c r="D211">
        <f>_xlfn.XLOOKUP($A211,$B$2:$B$89,D$2:D$89,"",0)&amp;_xlfn.XLOOKUP($A211,$A$90:$A$118,D$90:D$118,"",0)</f>
        <v/>
      </c>
      <c r="E211">
        <f>_xlfn.XLOOKUP($A211,$B$2:$B$89,E$2:E$89,"",0)&amp;_xlfn.XLOOKUP($A211,$A$90:$A$118,E$90:E$118,"",0)</f>
        <v/>
      </c>
      <c r="F211" s="37">
        <f>_xlfn.XLOOKUP($A211,$B$2:$B$89,F$2:F$89,"",0)&amp;_xlfn.XLOOKUP($A211,$A$90:$A$118,F$90:F$118,"",0)</f>
        <v/>
      </c>
      <c r="G211" s="51">
        <f>_xlfn.XLOOKUP(C211,Articles!A:A,Articles!D:D,0,0)</f>
        <v/>
      </c>
      <c r="H211" s="52">
        <f>IF(E211&lt;&gt;"",E211*G211,0)</f>
        <v/>
      </c>
      <c r="I211" s="51">
        <f>_xlfn.XLOOKUP(C211,Articles!A:A,Articles!E:E,0,0)</f>
        <v/>
      </c>
      <c r="J211" s="37">
        <f>IF(E211&lt;&gt;"",I211*E211,0)</f>
        <v/>
      </c>
    </row>
    <row r="212">
      <c r="A212">
        <f>B212*IF(Calc!$D$105="?",0,1)</f>
        <v/>
      </c>
      <c r="B212" s="36" t="n">
        <v>94</v>
      </c>
      <c r="C212">
        <f>_xlfn.XLOOKUP($A212,$B$2:$B$89,C$2:C$89,"",0)&amp;_xlfn.XLOOKUP($A212,$A$90:$A$118,C$90:C$118,"",0)</f>
        <v/>
      </c>
      <c r="D212">
        <f>_xlfn.XLOOKUP($A212,$B$2:$B$89,D$2:D$89,"",0)&amp;_xlfn.XLOOKUP($A212,$A$90:$A$118,D$90:D$118,"",0)</f>
        <v/>
      </c>
      <c r="E212">
        <f>_xlfn.XLOOKUP($A212,$B$2:$B$89,E$2:E$89,"",0)&amp;_xlfn.XLOOKUP($A212,$A$90:$A$118,E$90:E$118,"",0)</f>
        <v/>
      </c>
      <c r="F212" s="37">
        <f>_xlfn.XLOOKUP($A212,$B$2:$B$89,F$2:F$89,"",0)&amp;_xlfn.XLOOKUP($A212,$A$90:$A$118,F$90:F$118,"",0)</f>
        <v/>
      </c>
      <c r="G212" s="51">
        <f>_xlfn.XLOOKUP(C212,Articles!A:A,Articles!D:D,0,0)</f>
        <v/>
      </c>
      <c r="H212" s="52">
        <f>IF(E212&lt;&gt;"",E212*G212,0)</f>
        <v/>
      </c>
      <c r="I212" s="51">
        <f>_xlfn.XLOOKUP(C212,Articles!A:A,Articles!E:E,0,0)</f>
        <v/>
      </c>
      <c r="J212" s="37">
        <f>IF(E212&lt;&gt;"",I212*E212,0)</f>
        <v/>
      </c>
    </row>
    <row r="213">
      <c r="A213">
        <f>B213*IF(Calc!$D$105="?",0,1)</f>
        <v/>
      </c>
      <c r="B213" s="36" t="n">
        <v>95</v>
      </c>
      <c r="C213">
        <f>_xlfn.XLOOKUP($A213,$B$2:$B$89,C$2:C$89,"",0)&amp;_xlfn.XLOOKUP($A213,$A$90:$A$118,C$90:C$118,"",0)</f>
        <v/>
      </c>
      <c r="D213">
        <f>_xlfn.XLOOKUP($A213,$B$2:$B$89,D$2:D$89,"",0)&amp;_xlfn.XLOOKUP($A213,$A$90:$A$118,D$90:D$118,"",0)</f>
        <v/>
      </c>
      <c r="E213">
        <f>_xlfn.XLOOKUP($A213,$B$2:$B$89,E$2:E$89,"",0)&amp;_xlfn.XLOOKUP($A213,$A$90:$A$118,E$90:E$118,"",0)</f>
        <v/>
      </c>
      <c r="F213" s="37">
        <f>_xlfn.XLOOKUP($A213,$B$2:$B$89,F$2:F$89,"",0)&amp;_xlfn.XLOOKUP($A213,$A$90:$A$118,F$90:F$118,"",0)</f>
        <v/>
      </c>
      <c r="G213" s="51">
        <f>_xlfn.XLOOKUP(C213,Articles!A:A,Articles!D:D,0,0)</f>
        <v/>
      </c>
      <c r="H213" s="52">
        <f>IF(E213&lt;&gt;"",E213*G213,0)</f>
        <v/>
      </c>
      <c r="I213" s="51">
        <f>_xlfn.XLOOKUP(C213,Articles!A:A,Articles!E:E,0,0)</f>
        <v/>
      </c>
      <c r="J213" s="37">
        <f>IF(E213&lt;&gt;"",I213*E213,0)</f>
        <v/>
      </c>
    </row>
    <row r="214">
      <c r="A214">
        <f>B214*IF(Calc!$D$105="?",0,1)</f>
        <v/>
      </c>
      <c r="B214" s="36" t="n">
        <v>96</v>
      </c>
      <c r="C214">
        <f>_xlfn.XLOOKUP($A214,$B$2:$B$89,C$2:C$89,"",0)&amp;_xlfn.XLOOKUP($A214,$A$90:$A$118,C$90:C$118,"",0)</f>
        <v/>
      </c>
      <c r="D214">
        <f>_xlfn.XLOOKUP($A214,$B$2:$B$89,D$2:D$89,"",0)&amp;_xlfn.XLOOKUP($A214,$A$90:$A$118,D$90:D$118,"",0)</f>
        <v/>
      </c>
      <c r="E214">
        <f>_xlfn.XLOOKUP($A214,$B$2:$B$89,E$2:E$89,"",0)&amp;_xlfn.XLOOKUP($A214,$A$90:$A$118,E$90:E$118,"",0)</f>
        <v/>
      </c>
      <c r="F214" s="37">
        <f>_xlfn.XLOOKUP($A214,$B$2:$B$89,F$2:F$89,"",0)&amp;_xlfn.XLOOKUP($A214,$A$90:$A$118,F$90:F$118,"",0)</f>
        <v/>
      </c>
      <c r="G214" s="51">
        <f>_xlfn.XLOOKUP(C214,Articles!A:A,Articles!D:D,0,0)</f>
        <v/>
      </c>
      <c r="H214" s="52">
        <f>IF(E214&lt;&gt;"",E214*G214,0)</f>
        <v/>
      </c>
      <c r="I214" s="51">
        <f>_xlfn.XLOOKUP(C214,Articles!A:A,Articles!E:E,0,0)</f>
        <v/>
      </c>
      <c r="J214" s="37">
        <f>IF(E214&lt;&gt;"",I214*E214,0)</f>
        <v/>
      </c>
    </row>
    <row r="215">
      <c r="A215">
        <f>B215*IF(Calc!$D$105="?",0,1)</f>
        <v/>
      </c>
      <c r="B215" s="36" t="n">
        <v>97</v>
      </c>
      <c r="C215">
        <f>_xlfn.XLOOKUP($A215,$B$2:$B$89,C$2:C$89,"",0)&amp;_xlfn.XLOOKUP($A215,$A$90:$A$118,C$90:C$118,"",0)</f>
        <v/>
      </c>
      <c r="D215">
        <f>_xlfn.XLOOKUP($A215,$B$2:$B$89,D$2:D$89,"",0)&amp;_xlfn.XLOOKUP($A215,$A$90:$A$118,D$90:D$118,"",0)</f>
        <v/>
      </c>
      <c r="E215">
        <f>_xlfn.XLOOKUP($A215,$B$2:$B$89,E$2:E$89,"",0)&amp;_xlfn.XLOOKUP($A215,$A$90:$A$118,E$90:E$118,"",0)</f>
        <v/>
      </c>
      <c r="F215" s="37">
        <f>_xlfn.XLOOKUP($A215,$B$2:$B$89,F$2:F$89,"",0)&amp;_xlfn.XLOOKUP($A215,$A$90:$A$118,F$90:F$118,"",0)</f>
        <v/>
      </c>
      <c r="G215" s="51">
        <f>_xlfn.XLOOKUP(C215,Articles!A:A,Articles!D:D,0,0)</f>
        <v/>
      </c>
      <c r="H215" s="52">
        <f>IF(E215&lt;&gt;"",E215*G215,0)</f>
        <v/>
      </c>
      <c r="I215" s="51">
        <f>_xlfn.XLOOKUP(C215,Articles!A:A,Articles!E:E,0,0)</f>
        <v/>
      </c>
      <c r="J215" s="37">
        <f>IF(E215&lt;&gt;"",I215*E215,0)</f>
        <v/>
      </c>
    </row>
    <row r="216">
      <c r="A216">
        <f>B216*IF(Calc!$D$105="?",0,1)</f>
        <v/>
      </c>
      <c r="B216" s="36" t="n">
        <v>98</v>
      </c>
      <c r="C216">
        <f>_xlfn.XLOOKUP($A216,$B$2:$B$89,C$2:C$89,"",0)&amp;_xlfn.XLOOKUP($A216,$A$90:$A$118,C$90:C$118,"",0)</f>
        <v/>
      </c>
      <c r="D216">
        <f>_xlfn.XLOOKUP($A216,$B$2:$B$89,D$2:D$89,"",0)&amp;_xlfn.XLOOKUP($A216,$A$90:$A$118,D$90:D$118,"",0)</f>
        <v/>
      </c>
      <c r="E216">
        <f>_xlfn.XLOOKUP($A216,$B$2:$B$89,E$2:E$89,"",0)&amp;_xlfn.XLOOKUP($A216,$A$90:$A$118,E$90:E$118,"",0)</f>
        <v/>
      </c>
      <c r="F216" s="37">
        <f>_xlfn.XLOOKUP($A216,$B$2:$B$89,F$2:F$89,"",0)&amp;_xlfn.XLOOKUP($A216,$A$90:$A$118,F$90:F$118,"",0)</f>
        <v/>
      </c>
      <c r="G216" s="51">
        <f>_xlfn.XLOOKUP(C216,Articles!A:A,Articles!D:D,0,0)</f>
        <v/>
      </c>
      <c r="H216" s="52">
        <f>IF(E216&lt;&gt;"",E216*G216,0)</f>
        <v/>
      </c>
      <c r="I216" s="51">
        <f>_xlfn.XLOOKUP(C216,Articles!A:A,Articles!E:E,0,0)</f>
        <v/>
      </c>
      <c r="J216" s="37">
        <f>IF(E216&lt;&gt;"",I216*E216,0)</f>
        <v/>
      </c>
    </row>
    <row r="217">
      <c r="A217">
        <f>B217*IF(Calc!$D$105="?",0,1)</f>
        <v/>
      </c>
      <c r="B217" s="36" t="n">
        <v>99</v>
      </c>
      <c r="C217">
        <f>_xlfn.XLOOKUP($A217,$B$2:$B$89,C$2:C$89,"",0)&amp;_xlfn.XLOOKUP($A217,$A$90:$A$118,C$90:C$118,"",0)</f>
        <v/>
      </c>
      <c r="D217">
        <f>_xlfn.XLOOKUP($A217,$B$2:$B$89,D$2:D$89,"",0)&amp;_xlfn.XLOOKUP($A217,$A$90:$A$118,D$90:D$118,"",0)</f>
        <v/>
      </c>
      <c r="E217">
        <f>_xlfn.XLOOKUP($A217,$B$2:$B$89,E$2:E$89,"",0)&amp;_xlfn.XLOOKUP($A217,$A$90:$A$118,E$90:E$118,"",0)</f>
        <v/>
      </c>
      <c r="F217" s="37">
        <f>_xlfn.XLOOKUP($A217,$B$2:$B$89,F$2:F$89,"",0)&amp;_xlfn.XLOOKUP($A217,$A$90:$A$118,F$90:F$118,"",0)</f>
        <v/>
      </c>
      <c r="G217" s="51">
        <f>_xlfn.XLOOKUP(C217,Articles!A:A,Articles!D:D,0,0)</f>
        <v/>
      </c>
      <c r="H217" s="52">
        <f>IF(E217&lt;&gt;"",E217*G217,0)</f>
        <v/>
      </c>
      <c r="I217" s="51">
        <f>_xlfn.XLOOKUP(C217,Articles!A:A,Articles!E:E,0,0)</f>
        <v/>
      </c>
      <c r="J217" s="37">
        <f>IF(E217&lt;&gt;"",I217*E217,0)</f>
        <v/>
      </c>
    </row>
    <row r="218">
      <c r="A218">
        <f>B218*IF(Calc!$D$105="?",0,1)</f>
        <v/>
      </c>
      <c r="B218" s="36" t="n">
        <v>100</v>
      </c>
      <c r="C218">
        <f>_xlfn.XLOOKUP($A218,$B$2:$B$89,C$2:C$89,"",0)&amp;_xlfn.XLOOKUP($A218,$A$90:$A$118,C$90:C$118,"",0)</f>
        <v/>
      </c>
      <c r="D218">
        <f>_xlfn.XLOOKUP($A218,$B$2:$B$89,D$2:D$89,"",0)&amp;_xlfn.XLOOKUP($A218,$A$90:$A$118,D$90:D$118,"",0)</f>
        <v/>
      </c>
      <c r="E218">
        <f>_xlfn.XLOOKUP($A218,$B$2:$B$89,E$2:E$89,"",0)&amp;_xlfn.XLOOKUP($A218,$A$90:$A$118,E$90:E$118,"",0)</f>
        <v/>
      </c>
      <c r="F218" s="37">
        <f>_xlfn.XLOOKUP($A218,$B$2:$B$89,F$2:F$89,"",0)&amp;_xlfn.XLOOKUP($A218,$A$90:$A$118,F$90:F$118,"",0)</f>
        <v/>
      </c>
      <c r="G218" s="51">
        <f>_xlfn.XLOOKUP(C218,Articles!A:A,Articles!D:D,0,0)</f>
        <v/>
      </c>
      <c r="H218" s="52">
        <f>IF(E218&lt;&gt;"",E218*G218,0)</f>
        <v/>
      </c>
      <c r="I218" s="51">
        <f>_xlfn.XLOOKUP(C218,Articles!A:A,Articles!E:E,0,0)</f>
        <v/>
      </c>
      <c r="J218" s="37">
        <f>IF(E218&lt;&gt;"",I218*E218,0)</f>
        <v/>
      </c>
    </row>
    <row r="219">
      <c r="A219">
        <f>B219*IF(Calc!$D$105="?",0,1)</f>
        <v/>
      </c>
      <c r="B219" s="36" t="n">
        <v>101</v>
      </c>
      <c r="C219">
        <f>_xlfn.XLOOKUP($A219,$B$2:$B$89,C$2:C$89,"",0)&amp;_xlfn.XLOOKUP($A219,$A$90:$A$118,C$90:C$118,"",0)</f>
        <v/>
      </c>
      <c r="D219">
        <f>_xlfn.XLOOKUP($A219,$B$2:$B$89,D$2:D$89,"",0)&amp;_xlfn.XLOOKUP($A219,$A$90:$A$118,D$90:D$118,"",0)</f>
        <v/>
      </c>
      <c r="E219">
        <f>_xlfn.XLOOKUP($A219,$B$2:$B$89,E$2:E$89,"",0)&amp;_xlfn.XLOOKUP($A219,$A$90:$A$118,E$90:E$118,"",0)</f>
        <v/>
      </c>
      <c r="F219" s="37">
        <f>_xlfn.XLOOKUP($A219,$B$2:$B$89,F$2:F$89,"",0)&amp;_xlfn.XLOOKUP($A219,$A$90:$A$118,F$90:F$118,"",0)</f>
        <v/>
      </c>
      <c r="G219" s="51">
        <f>_xlfn.XLOOKUP(C219,Articles!A:A,Articles!D:D,0,0)</f>
        <v/>
      </c>
      <c r="H219" s="52">
        <f>IF(E219&lt;&gt;"",E219*G219,0)</f>
        <v/>
      </c>
      <c r="I219" s="51">
        <f>_xlfn.XLOOKUP(C219,Articles!A:A,Articles!E:E,0,0)</f>
        <v/>
      </c>
      <c r="J219" s="37">
        <f>IF(E219&lt;&gt;"",I219*E219,0)</f>
        <v/>
      </c>
    </row>
    <row r="220">
      <c r="A220">
        <f>B220*IF(Calc!$D$105="?",0,1)</f>
        <v/>
      </c>
      <c r="B220" s="36" t="n">
        <v>102</v>
      </c>
      <c r="C220">
        <f>_xlfn.XLOOKUP($A220,$B$2:$B$89,C$2:C$89,"",0)&amp;_xlfn.XLOOKUP($A220,$A$90:$A$118,C$90:C$118,"",0)</f>
        <v/>
      </c>
      <c r="D220">
        <f>_xlfn.XLOOKUP($A220,$B$2:$B$89,D$2:D$89,"",0)&amp;_xlfn.XLOOKUP($A220,$A$90:$A$118,D$90:D$118,"",0)</f>
        <v/>
      </c>
      <c r="E220">
        <f>_xlfn.XLOOKUP($A220,$B$2:$B$89,E$2:E$89,"",0)&amp;_xlfn.XLOOKUP($A220,$A$90:$A$118,E$90:E$118,"",0)</f>
        <v/>
      </c>
      <c r="F220" s="37">
        <f>_xlfn.XLOOKUP($A220,$B$2:$B$89,F$2:F$89,"",0)&amp;_xlfn.XLOOKUP($A220,$A$90:$A$118,F$90:F$118,"",0)</f>
        <v/>
      </c>
      <c r="G220" s="51">
        <f>_xlfn.XLOOKUP(C220,Articles!A:A,Articles!D:D,0,0)</f>
        <v/>
      </c>
      <c r="H220" s="52">
        <f>IF(E220&lt;&gt;"",E220*G220,0)</f>
        <v/>
      </c>
      <c r="I220" s="51">
        <f>_xlfn.XLOOKUP(C220,Articles!A:A,Articles!E:E,0,0)</f>
        <v/>
      </c>
      <c r="J220" s="37">
        <f>IF(E220&lt;&gt;"",I220*E220,0)</f>
        <v/>
      </c>
    </row>
    <row r="221">
      <c r="A221">
        <f>B221*IF(Calc!$D$105="?",0,1)</f>
        <v/>
      </c>
      <c r="B221" s="36" t="n">
        <v>103</v>
      </c>
      <c r="C221">
        <f>_xlfn.XLOOKUP($A221,$B$2:$B$89,C$2:C$89,"",0)&amp;_xlfn.XLOOKUP($A221,$A$90:$A$118,C$90:C$118,"",0)</f>
        <v/>
      </c>
      <c r="D221">
        <f>_xlfn.XLOOKUP($A221,$B$2:$B$89,D$2:D$89,"",0)&amp;_xlfn.XLOOKUP($A221,$A$90:$A$118,D$90:D$118,"",0)</f>
        <v/>
      </c>
      <c r="E221">
        <f>_xlfn.XLOOKUP($A221,$B$2:$B$89,E$2:E$89,"",0)&amp;_xlfn.XLOOKUP($A221,$A$90:$A$118,E$90:E$118,"",0)</f>
        <v/>
      </c>
      <c r="F221" s="37">
        <f>_xlfn.XLOOKUP($A221,$B$2:$B$89,F$2:F$89,"",0)&amp;_xlfn.XLOOKUP($A221,$A$90:$A$118,F$90:F$118,"",0)</f>
        <v/>
      </c>
      <c r="G221" s="51">
        <f>_xlfn.XLOOKUP(C221,Articles!A:A,Articles!D:D,0,0)</f>
        <v/>
      </c>
      <c r="H221" s="52">
        <f>IF(E221&lt;&gt;"",E221*G221,0)</f>
        <v/>
      </c>
      <c r="I221" s="51">
        <f>_xlfn.XLOOKUP(C221,Articles!A:A,Articles!E:E,0,0)</f>
        <v/>
      </c>
      <c r="J221" s="37">
        <f>IF(E221&lt;&gt;"",I221*E221,0)</f>
        <v/>
      </c>
    </row>
    <row r="222">
      <c r="A222">
        <f>B222*IF(Calc!$D$105="?",0,1)</f>
        <v/>
      </c>
      <c r="B222" s="36" t="n">
        <v>104</v>
      </c>
      <c r="C222">
        <f>_xlfn.XLOOKUP($A222,$B$2:$B$89,C$2:C$89,"",0)&amp;_xlfn.XLOOKUP($A222,$A$90:$A$118,C$90:C$118,"",0)</f>
        <v/>
      </c>
      <c r="D222">
        <f>_xlfn.XLOOKUP($A222,$B$2:$B$89,D$2:D$89,"",0)&amp;_xlfn.XLOOKUP($A222,$A$90:$A$118,D$90:D$118,"",0)</f>
        <v/>
      </c>
      <c r="E222">
        <f>_xlfn.XLOOKUP($A222,$B$2:$B$89,E$2:E$89,"",0)&amp;_xlfn.XLOOKUP($A222,$A$90:$A$118,E$90:E$118,"",0)</f>
        <v/>
      </c>
      <c r="F222" s="37">
        <f>_xlfn.XLOOKUP($A222,$B$2:$B$89,F$2:F$89,"",0)&amp;_xlfn.XLOOKUP($A222,$A$90:$A$118,F$90:F$118,"",0)</f>
        <v/>
      </c>
      <c r="G222" s="51">
        <f>_xlfn.XLOOKUP(C222,Articles!A:A,Articles!D:D,0,0)</f>
        <v/>
      </c>
      <c r="H222" s="52">
        <f>IF(E222&lt;&gt;"",E222*G222,0)</f>
        <v/>
      </c>
      <c r="I222" s="51">
        <f>_xlfn.XLOOKUP(C222,Articles!A:A,Articles!E:E,0,0)</f>
        <v/>
      </c>
      <c r="J222" s="37">
        <f>IF(E222&lt;&gt;"",I222*E222,0)</f>
        <v/>
      </c>
    </row>
    <row r="223">
      <c r="A223">
        <f>B223*IF(Calc!$D$105="?",0,1)</f>
        <v/>
      </c>
      <c r="B223" s="36" t="n">
        <v>105</v>
      </c>
      <c r="C223">
        <f>_xlfn.XLOOKUP($A223,$B$2:$B$89,C$2:C$89,"",0)&amp;_xlfn.XLOOKUP($A223,$A$90:$A$118,C$90:C$118,"",0)</f>
        <v/>
      </c>
      <c r="D223">
        <f>_xlfn.XLOOKUP($A223,$B$2:$B$89,D$2:D$89,"",0)&amp;_xlfn.XLOOKUP($A223,$A$90:$A$118,D$90:D$118,"",0)</f>
        <v/>
      </c>
      <c r="E223">
        <f>_xlfn.XLOOKUP($A223,$B$2:$B$89,E$2:E$89,"",0)&amp;_xlfn.XLOOKUP($A223,$A$90:$A$118,E$90:E$118,"",0)</f>
        <v/>
      </c>
      <c r="F223" s="37">
        <f>_xlfn.XLOOKUP($A223,$B$2:$B$89,F$2:F$89,"",0)&amp;_xlfn.XLOOKUP($A223,$A$90:$A$118,F$90:F$118,"",0)</f>
        <v/>
      </c>
      <c r="G223" s="51">
        <f>_xlfn.XLOOKUP(C223,Articles!A:A,Articles!D:D,0,0)</f>
        <v/>
      </c>
      <c r="H223" s="52">
        <f>IF(E223&lt;&gt;"",E223*G223,0)</f>
        <v/>
      </c>
      <c r="I223" s="51">
        <f>_xlfn.XLOOKUP(C223,Articles!A:A,Articles!E:E,0,0)</f>
        <v/>
      </c>
      <c r="J223" s="37">
        <f>IF(E223&lt;&gt;"",I223*E223,0)</f>
        <v/>
      </c>
    </row>
    <row r="224">
      <c r="A224">
        <f>B224*IF(Calc!$D$105="?",0,1)</f>
        <v/>
      </c>
      <c r="B224" s="36" t="n">
        <v>106</v>
      </c>
      <c r="C224">
        <f>_xlfn.XLOOKUP($A224,$B$2:$B$89,C$2:C$89,"",0)&amp;_xlfn.XLOOKUP($A224,$A$90:$A$118,C$90:C$118,"",0)</f>
        <v/>
      </c>
      <c r="D224">
        <f>_xlfn.XLOOKUP($A224,$B$2:$B$89,D$2:D$89,"",0)&amp;_xlfn.XLOOKUP($A224,$A$90:$A$118,D$90:D$118,"",0)</f>
        <v/>
      </c>
      <c r="E224">
        <f>_xlfn.XLOOKUP($A224,$B$2:$B$89,E$2:E$89,"",0)&amp;_xlfn.XLOOKUP($A224,$A$90:$A$118,E$90:E$118,"",0)</f>
        <v/>
      </c>
      <c r="F224" s="37">
        <f>_xlfn.XLOOKUP($A224,$B$2:$B$89,F$2:F$89,"",0)&amp;_xlfn.XLOOKUP($A224,$A$90:$A$118,F$90:F$118,"",0)</f>
        <v/>
      </c>
      <c r="G224" s="51">
        <f>_xlfn.XLOOKUP(C224,Articles!A:A,Articles!D:D,0,0)</f>
        <v/>
      </c>
      <c r="H224" s="52">
        <f>IF(E224&lt;&gt;"",E224*G224,0)</f>
        <v/>
      </c>
      <c r="I224" s="51">
        <f>_xlfn.XLOOKUP(C224,Articles!A:A,Articles!E:E,0,0)</f>
        <v/>
      </c>
      <c r="J224" s="37">
        <f>IF(E224&lt;&gt;"",I224*E224,0)</f>
        <v/>
      </c>
    </row>
    <row r="225">
      <c r="A225">
        <f>B225*IF(Calc!$D$105="?",0,1)</f>
        <v/>
      </c>
      <c r="B225" s="36" t="n">
        <v>107</v>
      </c>
      <c r="C225">
        <f>_xlfn.XLOOKUP($A225,$B$2:$B$89,C$2:C$89,"",0)&amp;_xlfn.XLOOKUP($A225,$A$90:$A$118,C$90:C$118,"",0)</f>
        <v/>
      </c>
      <c r="D225">
        <f>_xlfn.XLOOKUP($A225,$B$2:$B$89,D$2:D$89,"",0)&amp;_xlfn.XLOOKUP($A225,$A$90:$A$118,D$90:D$118,"",0)</f>
        <v/>
      </c>
      <c r="E225">
        <f>_xlfn.XLOOKUP($A225,$B$2:$B$89,E$2:E$89,"",0)&amp;_xlfn.XLOOKUP($A225,$A$90:$A$118,E$90:E$118,"",0)</f>
        <v/>
      </c>
      <c r="F225" s="37">
        <f>_xlfn.XLOOKUP($A225,$B$2:$B$89,F$2:F$89,"",0)&amp;_xlfn.XLOOKUP($A225,$A$90:$A$118,F$90:F$118,"",0)</f>
        <v/>
      </c>
      <c r="G225" s="51">
        <f>_xlfn.XLOOKUP(C225,Articles!A:A,Articles!D:D,0,0)</f>
        <v/>
      </c>
      <c r="H225" s="52">
        <f>IF(E225&lt;&gt;"",E225*G225,0)</f>
        <v/>
      </c>
      <c r="I225" s="51">
        <f>_xlfn.XLOOKUP(C225,Articles!A:A,Articles!E:E,0,0)</f>
        <v/>
      </c>
      <c r="J225" s="37">
        <f>IF(E225&lt;&gt;"",I225*E225,0)</f>
        <v/>
      </c>
    </row>
    <row r="226">
      <c r="A226">
        <f>B226*IF(Calc!$D$105="?",0,1)</f>
        <v/>
      </c>
      <c r="B226" s="36" t="n">
        <v>108</v>
      </c>
      <c r="C226">
        <f>_xlfn.XLOOKUP($A226,$B$2:$B$89,C$2:C$89,"",0)&amp;_xlfn.XLOOKUP($A226,$A$90:$A$118,C$90:C$118,"",0)</f>
        <v/>
      </c>
      <c r="D226">
        <f>_xlfn.XLOOKUP($A226,$B$2:$B$89,D$2:D$89,"",0)&amp;_xlfn.XLOOKUP($A226,$A$90:$A$118,D$90:D$118,"",0)</f>
        <v/>
      </c>
      <c r="E226">
        <f>_xlfn.XLOOKUP($A226,$B$2:$B$89,E$2:E$89,"",0)&amp;_xlfn.XLOOKUP($A226,$A$90:$A$118,E$90:E$118,"",0)</f>
        <v/>
      </c>
      <c r="F226" s="37">
        <f>_xlfn.XLOOKUP($A226,$B$2:$B$89,F$2:F$89,"",0)&amp;_xlfn.XLOOKUP($A226,$A$90:$A$118,F$90:F$118,"",0)</f>
        <v/>
      </c>
      <c r="G226" s="51">
        <f>_xlfn.XLOOKUP(C226,Articles!A:A,Articles!D:D,0,0)</f>
        <v/>
      </c>
      <c r="H226" s="52">
        <f>IF(E226&lt;&gt;"",E226*G226,0)</f>
        <v/>
      </c>
      <c r="I226" s="51">
        <f>_xlfn.XLOOKUP(C226,Articles!A:A,Articles!E:E,0,0)</f>
        <v/>
      </c>
      <c r="J226" s="37">
        <f>IF(E226&lt;&gt;"",I226*E226,0)</f>
        <v/>
      </c>
    </row>
    <row r="227">
      <c r="A227">
        <f>B227*IF(Calc!$D$105="?",0,1)</f>
        <v/>
      </c>
      <c r="B227" s="36" t="n">
        <v>109</v>
      </c>
      <c r="C227">
        <f>_xlfn.XLOOKUP($A227,$B$2:$B$89,C$2:C$89,"",0)&amp;_xlfn.XLOOKUP($A227,$A$90:$A$118,C$90:C$118,"",0)</f>
        <v/>
      </c>
      <c r="D227">
        <f>_xlfn.XLOOKUP($A227,$B$2:$B$89,D$2:D$89,"",0)&amp;_xlfn.XLOOKUP($A227,$A$90:$A$118,D$90:D$118,"",0)</f>
        <v/>
      </c>
      <c r="E227">
        <f>_xlfn.XLOOKUP($A227,$B$2:$B$89,E$2:E$89,"",0)&amp;_xlfn.XLOOKUP($A227,$A$90:$A$118,E$90:E$118,"",0)</f>
        <v/>
      </c>
      <c r="F227" s="37">
        <f>_xlfn.XLOOKUP($A227,$B$2:$B$89,F$2:F$89,"",0)&amp;_xlfn.XLOOKUP($A227,$A$90:$A$118,F$90:F$118,"",0)</f>
        <v/>
      </c>
      <c r="G227" s="51">
        <f>_xlfn.XLOOKUP(C227,Articles!A:A,Articles!D:D,0,0)</f>
        <v/>
      </c>
      <c r="H227" s="52">
        <f>IF(E227&lt;&gt;"",E227*G227,0)</f>
        <v/>
      </c>
      <c r="I227" s="51">
        <f>_xlfn.XLOOKUP(C227,Articles!A:A,Articles!E:E,0,0)</f>
        <v/>
      </c>
      <c r="J227" s="37">
        <f>IF(E227&lt;&gt;"",I227*E227,0)</f>
        <v/>
      </c>
    </row>
    <row r="228">
      <c r="A228">
        <f>B228*IF(Calc!$D$105="?",0,1)</f>
        <v/>
      </c>
      <c r="B228" s="36" t="n">
        <v>110</v>
      </c>
      <c r="C228">
        <f>_xlfn.XLOOKUP($A228,$B$2:$B$89,C$2:C$89,"",0)&amp;_xlfn.XLOOKUP($A228,$A$90:$A$118,C$90:C$118,"",0)</f>
        <v/>
      </c>
      <c r="D228">
        <f>_xlfn.XLOOKUP($A228,$B$2:$B$89,D$2:D$89,"",0)&amp;_xlfn.XLOOKUP($A228,$A$90:$A$118,D$90:D$118,"",0)</f>
        <v/>
      </c>
      <c r="E228">
        <f>_xlfn.XLOOKUP($A228,$B$2:$B$89,E$2:E$89,"",0)&amp;_xlfn.XLOOKUP($A228,$A$90:$A$118,E$90:E$118,"",0)</f>
        <v/>
      </c>
      <c r="F228" s="37">
        <f>_xlfn.XLOOKUP($A228,$B$2:$B$89,F$2:F$89,"",0)&amp;_xlfn.XLOOKUP($A228,$A$90:$A$118,F$90:F$118,"",0)</f>
        <v/>
      </c>
      <c r="G228" s="51">
        <f>_xlfn.XLOOKUP(C228,Articles!A:A,Articles!D:D,0,0)</f>
        <v/>
      </c>
      <c r="H228" s="52">
        <f>IF(E228&lt;&gt;"",E228*G228,0)</f>
        <v/>
      </c>
      <c r="I228" s="51">
        <f>_xlfn.XLOOKUP(C228,Articles!A:A,Articles!E:E,0,0)</f>
        <v/>
      </c>
      <c r="J228" s="37">
        <f>IF(E228&lt;&gt;"",I228*E228,0)</f>
        <v/>
      </c>
    </row>
    <row r="229">
      <c r="A229">
        <f>B229*IF(Calc!$D$105="?",0,1)</f>
        <v/>
      </c>
      <c r="B229" s="36" t="n">
        <v>111</v>
      </c>
      <c r="C229">
        <f>_xlfn.XLOOKUP($A229,$B$2:$B$89,C$2:C$89,"",0)&amp;_xlfn.XLOOKUP($A229,$A$90:$A$118,C$90:C$118,"",0)</f>
        <v/>
      </c>
      <c r="D229">
        <f>_xlfn.XLOOKUP($A229,$B$2:$B$89,D$2:D$89,"",0)&amp;_xlfn.XLOOKUP($A229,$A$90:$A$118,D$90:D$118,"",0)</f>
        <v/>
      </c>
      <c r="E229">
        <f>_xlfn.XLOOKUP($A229,$B$2:$B$89,E$2:E$89,"",0)&amp;_xlfn.XLOOKUP($A229,$A$90:$A$118,E$90:E$118,"",0)</f>
        <v/>
      </c>
      <c r="F229" s="37">
        <f>_xlfn.XLOOKUP($A229,$B$2:$B$89,F$2:F$89,"",0)&amp;_xlfn.XLOOKUP($A229,$A$90:$A$118,F$90:F$118,"",0)</f>
        <v/>
      </c>
      <c r="G229" s="51">
        <f>_xlfn.XLOOKUP(C229,Articles!A:A,Articles!D:D,0,0)</f>
        <v/>
      </c>
      <c r="H229" s="52">
        <f>IF(E229&lt;&gt;"",E229*G229,0)</f>
        <v/>
      </c>
      <c r="I229" s="51">
        <f>_xlfn.XLOOKUP(C229,Articles!A:A,Articles!E:E,0,0)</f>
        <v/>
      </c>
      <c r="J229" s="37">
        <f>IF(E229&lt;&gt;"",I229*E229,0)</f>
        <v/>
      </c>
    </row>
    <row r="230">
      <c r="A230">
        <f>B230*IF(Calc!$D$105="?",0,1)</f>
        <v/>
      </c>
      <c r="B230" s="36" t="n">
        <v>112</v>
      </c>
      <c r="C230">
        <f>_xlfn.XLOOKUP($A230,$B$2:$B$89,C$2:C$89,"",0)&amp;_xlfn.XLOOKUP($A230,$A$90:$A$118,C$90:C$118,"",0)</f>
        <v/>
      </c>
      <c r="D230">
        <f>_xlfn.XLOOKUP($A230,$B$2:$B$89,D$2:D$89,"",0)&amp;_xlfn.XLOOKUP($A230,$A$90:$A$118,D$90:D$118,"",0)</f>
        <v/>
      </c>
      <c r="E230">
        <f>_xlfn.XLOOKUP($A230,$B$2:$B$89,E$2:E$89,"",0)&amp;_xlfn.XLOOKUP($A230,$A$90:$A$118,E$90:E$118,"",0)</f>
        <v/>
      </c>
      <c r="F230" s="37">
        <f>_xlfn.XLOOKUP($A230,$B$2:$B$89,F$2:F$89,"",0)&amp;_xlfn.XLOOKUP($A230,$A$90:$A$118,F$90:F$118,"",0)</f>
        <v/>
      </c>
      <c r="G230" s="51">
        <f>_xlfn.XLOOKUP(C230,Articles!A:A,Articles!D:D,0,0)</f>
        <v/>
      </c>
      <c r="H230" s="52">
        <f>IF(E230&lt;&gt;"",E230*G230,0)</f>
        <v/>
      </c>
      <c r="I230" s="51">
        <f>_xlfn.XLOOKUP(C230,Articles!A:A,Articles!E:E,0,0)</f>
        <v/>
      </c>
      <c r="J230" s="37">
        <f>IF(E230&lt;&gt;"",I230*E230,0)</f>
        <v/>
      </c>
    </row>
    <row r="231">
      <c r="A231">
        <f>B231*IF(Calc!$D$105="?",0,1)</f>
        <v/>
      </c>
      <c r="B231" s="36" t="n">
        <v>113</v>
      </c>
      <c r="C231">
        <f>_xlfn.XLOOKUP($A231,$B$2:$B$89,C$2:C$89,"",0)&amp;_xlfn.XLOOKUP($A231,$A$90:$A$118,C$90:C$118,"",0)</f>
        <v/>
      </c>
      <c r="D231">
        <f>_xlfn.XLOOKUP($A231,$B$2:$B$89,D$2:D$89,"",0)&amp;_xlfn.XLOOKUP($A231,$A$90:$A$118,D$90:D$118,"",0)</f>
        <v/>
      </c>
      <c r="E231">
        <f>_xlfn.XLOOKUP($A231,$B$2:$B$89,E$2:E$89,"",0)&amp;_xlfn.XLOOKUP($A231,$A$90:$A$118,E$90:E$118,"",0)</f>
        <v/>
      </c>
      <c r="F231" s="37">
        <f>_xlfn.XLOOKUP($A231,$B$2:$B$89,F$2:F$89,"",0)&amp;_xlfn.XLOOKUP($A231,$A$90:$A$118,F$90:F$118,"",0)</f>
        <v/>
      </c>
      <c r="G231" s="51">
        <f>_xlfn.XLOOKUP(C231,Articles!A:A,Articles!D:D,0,0)</f>
        <v/>
      </c>
      <c r="H231" s="52">
        <f>IF(E231&lt;&gt;"",E231*G231,0)</f>
        <v/>
      </c>
      <c r="I231" s="51">
        <f>_xlfn.XLOOKUP(C231,Articles!A:A,Articles!E:E,0,0)</f>
        <v/>
      </c>
      <c r="J231" s="37">
        <f>IF(E231&lt;&gt;"",I231*E231,0)</f>
        <v/>
      </c>
    </row>
    <row r="232">
      <c r="A232">
        <f>B232*IF(Calc!$D$105="?",0,1)</f>
        <v/>
      </c>
      <c r="B232" s="36" t="n">
        <v>114</v>
      </c>
      <c r="C232">
        <f>_xlfn.XLOOKUP($A232,$B$2:$B$89,C$2:C$89,"",0)&amp;_xlfn.XLOOKUP($A232,$A$90:$A$118,C$90:C$118,"",0)</f>
        <v/>
      </c>
      <c r="D232">
        <f>_xlfn.XLOOKUP($A232,$B$2:$B$89,D$2:D$89,"",0)&amp;_xlfn.XLOOKUP($A232,$A$90:$A$118,D$90:D$118,"",0)</f>
        <v/>
      </c>
      <c r="E232">
        <f>_xlfn.XLOOKUP($A232,$B$2:$B$89,E$2:E$89,"",0)&amp;_xlfn.XLOOKUP($A232,$A$90:$A$118,E$90:E$118,"",0)</f>
        <v/>
      </c>
      <c r="F232" s="37">
        <f>_xlfn.XLOOKUP($A232,$B$2:$B$89,F$2:F$89,"",0)&amp;_xlfn.XLOOKUP($A232,$A$90:$A$118,F$90:F$118,"",0)</f>
        <v/>
      </c>
      <c r="G232" s="51">
        <f>_xlfn.XLOOKUP(C232,Articles!A:A,Articles!D:D,0,0)</f>
        <v/>
      </c>
      <c r="H232" s="52">
        <f>IF(E232&lt;&gt;"",E232*G232,0)</f>
        <v/>
      </c>
      <c r="I232" s="51">
        <f>_xlfn.XLOOKUP(C232,Articles!A:A,Articles!E:E,0,0)</f>
        <v/>
      </c>
      <c r="J232" s="37">
        <f>IF(E232&lt;&gt;"",I232*E232,0)</f>
        <v/>
      </c>
    </row>
    <row r="233">
      <c r="A233">
        <f>B233*IF(Calc!$D$105="?",0,1)</f>
        <v/>
      </c>
      <c r="B233" s="36" t="n">
        <v>115</v>
      </c>
      <c r="C233">
        <f>_xlfn.XLOOKUP($A233,$B$2:$B$89,C$2:C$89,"",0)&amp;_xlfn.XLOOKUP($A233,$A$90:$A$118,C$90:C$118,"",0)</f>
        <v/>
      </c>
      <c r="D233">
        <f>_xlfn.XLOOKUP($A233,$B$2:$B$89,D$2:D$89,"",0)&amp;_xlfn.XLOOKUP($A233,$A$90:$A$118,D$90:D$118,"",0)</f>
        <v/>
      </c>
      <c r="E233">
        <f>_xlfn.XLOOKUP($A233,$B$2:$B$89,E$2:E$89,"",0)&amp;_xlfn.XLOOKUP($A233,$A$90:$A$118,E$90:E$118,"",0)</f>
        <v/>
      </c>
      <c r="F233" s="37">
        <f>_xlfn.XLOOKUP($A233,$B$2:$B$89,F$2:F$89,"",0)&amp;_xlfn.XLOOKUP($A233,$A$90:$A$118,F$90:F$118,"",0)</f>
        <v/>
      </c>
      <c r="G233" s="51">
        <f>_xlfn.XLOOKUP(C233,Articles!A:A,Articles!D:D,0,0)</f>
        <v/>
      </c>
      <c r="H233" s="52">
        <f>IF(E233&lt;&gt;"",E233*G233,0)</f>
        <v/>
      </c>
      <c r="I233" s="51">
        <f>_xlfn.XLOOKUP(C233,Articles!A:A,Articles!E:E,0,0)</f>
        <v/>
      </c>
      <c r="J233" s="37">
        <f>IF(E233&lt;&gt;"",I233*E233,0)</f>
        <v/>
      </c>
    </row>
    <row r="234">
      <c r="A234">
        <f>B234*IF(Calc!$D$105="?",0,1)</f>
        <v/>
      </c>
      <c r="B234" s="36" t="n">
        <v>116</v>
      </c>
      <c r="C234">
        <f>_xlfn.XLOOKUP($A234,$B$2:$B$89,C$2:C$89,"",0)&amp;_xlfn.XLOOKUP($A234,$A$90:$A$118,C$90:C$118,"",0)</f>
        <v/>
      </c>
      <c r="D234">
        <f>_xlfn.XLOOKUP($A234,$B$2:$B$89,D$2:D$89,"",0)&amp;_xlfn.XLOOKUP($A234,$A$90:$A$118,D$90:D$118,"",0)</f>
        <v/>
      </c>
      <c r="E234">
        <f>_xlfn.XLOOKUP($A234,$B$2:$B$89,E$2:E$89,"",0)&amp;_xlfn.XLOOKUP($A234,$A$90:$A$118,E$90:E$118,"",0)</f>
        <v/>
      </c>
      <c r="F234" s="37">
        <f>_xlfn.XLOOKUP($A234,$B$2:$B$89,F$2:F$89,"",0)&amp;_xlfn.XLOOKUP($A234,$A$90:$A$118,F$90:F$118,"",0)</f>
        <v/>
      </c>
      <c r="G234" s="51">
        <f>_xlfn.XLOOKUP(C234,Articles!A:A,Articles!D:D,0,0)</f>
        <v/>
      </c>
      <c r="H234" s="52">
        <f>IF(E234&lt;&gt;"",E234*G234,0)</f>
        <v/>
      </c>
      <c r="I234" s="51">
        <f>_xlfn.XLOOKUP(C234,Articles!A:A,Articles!E:E,0,0)</f>
        <v/>
      </c>
      <c r="J234" s="37">
        <f>IF(E234&lt;&gt;"",I234*E234,0)</f>
        <v/>
      </c>
    </row>
    <row r="235" ht="15.95" customHeight="1" thickBot="1">
      <c r="A235">
        <f>B235*IF(Calc!$D$105="?",0,1)</f>
        <v/>
      </c>
      <c r="B235" s="36" t="n">
        <v>117</v>
      </c>
      <c r="C235" s="39">
        <f>_xlfn.XLOOKUP($A235,$B$2:$B$89,C$2:C$89,"",0)&amp;_xlfn.XLOOKUP($A235,$A$90:$A$118,C$90:C$118,"",0)</f>
        <v/>
      </c>
      <c r="D235">
        <f>_xlfn.XLOOKUP($A235,$B$2:$B$89,D$2:D$89,"",0)&amp;_xlfn.XLOOKUP($A235,$A$90:$A$118,D$90:D$118,"",0)</f>
        <v/>
      </c>
      <c r="E235">
        <f>_xlfn.XLOOKUP($A235,$B$2:$B$89,E$2:E$89,"",0)&amp;_xlfn.XLOOKUP($A235,$A$90:$A$118,E$90:E$118,"",0)</f>
        <v/>
      </c>
      <c r="F235" s="37">
        <f>_xlfn.XLOOKUP($A235,$B$2:$B$89,F$2:F$89,"",0)&amp;_xlfn.XLOOKUP($A235,$A$90:$A$118,F$90:F$118,"",0)</f>
        <v/>
      </c>
      <c r="G235" s="53">
        <f>_xlfn.XLOOKUP(C235,Articles!A:A,Articles!D:D,0,0)</f>
        <v/>
      </c>
      <c r="H235" s="54">
        <f>IF(E235&lt;&gt;"",E235*G235,0)</f>
        <v/>
      </c>
      <c r="I235" s="53">
        <f>_xlfn.XLOOKUP(C235,Articles!A:A,Articles!E:E,0,0)</f>
        <v/>
      </c>
      <c r="J235" s="40">
        <f>IF(E235&lt;&gt;"",I235*E235,0)</f>
        <v/>
      </c>
    </row>
    <row r="236">
      <c r="A236">
        <f>B236*IF(Calc!$D$105="?",0,1)</f>
        <v/>
      </c>
      <c r="B236" s="33" t="n">
        <v>1</v>
      </c>
      <c r="C236" s="34" t="n"/>
      <c r="D236" s="34">
        <f>_xlfn.XLOOKUP(A236,Calc!$A$108:$A$117,Calc!$C$108:$C$117,"",0)</f>
        <v/>
      </c>
      <c r="E236" s="34" t="n"/>
      <c r="F236" s="35" t="n"/>
    </row>
    <row r="237">
      <c r="A237">
        <f>B237*IF(Calc!$D$105="?",0,1)</f>
        <v/>
      </c>
      <c r="B237" s="36" t="n">
        <v>2</v>
      </c>
      <c r="D237">
        <f>_xlfn.XLOOKUP(A237,Calc!$A$108:$A$117,Calc!$C$108:$C$117,"",0)</f>
        <v/>
      </c>
      <c r="F237" s="37" t="n"/>
    </row>
    <row r="238">
      <c r="A238">
        <f>B238*IF(Calc!$D$105="?",0,1)</f>
        <v/>
      </c>
      <c r="B238" s="36" t="n">
        <v>3</v>
      </c>
      <c r="D238">
        <f>_xlfn.XLOOKUP(A238,Calc!$A$108:$A$117,Calc!$C$108:$C$117,"",0)</f>
        <v/>
      </c>
      <c r="F238" s="37" t="n"/>
    </row>
    <row r="239">
      <c r="A239">
        <f>B239*IF(Calc!$D$105="?",0,1)</f>
        <v/>
      </c>
      <c r="B239" s="36" t="n">
        <v>4</v>
      </c>
      <c r="D239">
        <f>_xlfn.XLOOKUP(A239,Calc!$A$108:$A$117,Calc!$C$108:$C$117,"",0)</f>
        <v/>
      </c>
      <c r="F239" s="37" t="n"/>
    </row>
    <row r="240">
      <c r="A240">
        <f>B240*IF(Calc!$D$105="?",0,1)</f>
        <v/>
      </c>
      <c r="B240" s="36" t="n">
        <v>5</v>
      </c>
      <c r="D240">
        <f>_xlfn.XLOOKUP(A240,Calc!$A$108:$A$117,Calc!$C$108:$C$117,"",0)</f>
        <v/>
      </c>
      <c r="F240" s="37" t="n"/>
    </row>
    <row r="241">
      <c r="A241">
        <f>B241*IF(Calc!$D$105="?",0,1)</f>
        <v/>
      </c>
      <c r="B241" s="36" t="n">
        <v>6</v>
      </c>
      <c r="D241">
        <f>_xlfn.XLOOKUP(A241,Calc!$A$108:$A$117,Calc!$C$108:$C$117,"",0)</f>
        <v/>
      </c>
      <c r="F241" s="37" t="n"/>
    </row>
    <row r="242">
      <c r="A242">
        <f>B242*IF(Calc!$D$105="?",0,1)</f>
        <v/>
      </c>
      <c r="B242" s="36" t="n">
        <v>7</v>
      </c>
      <c r="D242">
        <f>_xlfn.XLOOKUP(A242,Calc!$A$108:$A$117,Calc!$C$108:$C$117,"",0)</f>
        <v/>
      </c>
      <c r="F242" s="37" t="n"/>
    </row>
    <row r="243">
      <c r="A243">
        <f>B243*IF(Calc!$D$105="?",0,1)</f>
        <v/>
      </c>
      <c r="B243" s="36" t="n">
        <v>8</v>
      </c>
      <c r="D243">
        <f>_xlfn.XLOOKUP(A243,Calc!$A$108:$A$117,Calc!$C$108:$C$117,"",0)</f>
        <v/>
      </c>
      <c r="F243" s="37" t="n"/>
    </row>
    <row r="244">
      <c r="A244">
        <f>B244*IF(Calc!$D$105="?",0,1)</f>
        <v/>
      </c>
      <c r="B244" s="36" t="n">
        <v>9</v>
      </c>
      <c r="D244">
        <f>_xlfn.XLOOKUP(A244,Calc!$A$108:$A$117,Calc!$C$108:$C$117,"",0)</f>
        <v/>
      </c>
      <c r="F244" s="37" t="n"/>
    </row>
    <row r="245" ht="15.95" customHeight="1" thickBot="1">
      <c r="A245">
        <f>B245*IF(Calc!$D$105="?",0,1)</f>
        <v/>
      </c>
      <c r="B245" s="38" t="n">
        <v>10</v>
      </c>
      <c r="C245" s="39" t="n"/>
      <c r="D245" s="39">
        <f>_xlfn.XLOOKUP(A245,Calc!$A$108:$A$117,Calc!$C$108:$C$117,"",0)</f>
        <v/>
      </c>
      <c r="E245" s="39" t="n"/>
      <c r="F245" s="40" t="n"/>
    </row>
    <row r="246">
      <c r="A246">
        <f>B246*IF(Calc!$D$105="?",0,1)</f>
        <v/>
      </c>
      <c r="B246" s="33" t="n">
        <v>1</v>
      </c>
      <c r="C246" s="34">
        <f>_xlfn.XLOOKUP(A246,Calc!$A$120:$A$125,Calc!$C$120:$C$125,"",0)</f>
        <v/>
      </c>
      <c r="D246" s="34">
        <f>_xlfn.XLOOKUP(A246,Calc!$A$120:$A$125,Calc!$D$120:$D$125,"",0)</f>
        <v/>
      </c>
      <c r="E246" s="34">
        <f>_xlfn.XLOOKUP(A246,Calc!$A$120:$A$125,Calc!$E$120:$E$125,"",0)</f>
        <v/>
      </c>
      <c r="F246" s="35">
        <f>_xlfn.XLOOKUP(A246,Calc!$A$120:$A$125,Calc!$F$120:$F$125,"",0)</f>
        <v/>
      </c>
    </row>
    <row r="247">
      <c r="A247">
        <f>B247*IF(Calc!$D$105="?",0,1)</f>
        <v/>
      </c>
      <c r="B247" s="36" t="n">
        <v>2</v>
      </c>
      <c r="C247">
        <f>_xlfn.XLOOKUP(A247,Calc!$A$120:$A$125,Calc!$C$120:$C$125,"",0)</f>
        <v/>
      </c>
      <c r="D247">
        <f>_xlfn.XLOOKUP(A247,Calc!$A$120:$A$125,Calc!$D$120:$D$125,"",0)</f>
        <v/>
      </c>
      <c r="E247">
        <f>_xlfn.XLOOKUP(A247,Calc!$A$120:$A$125,Calc!$E$120:$E$125,"",0)</f>
        <v/>
      </c>
      <c r="F247" s="37">
        <f>_xlfn.XLOOKUP(A247,Calc!$A$120:$A$125,Calc!$F$120:$F$125,"",0)</f>
        <v/>
      </c>
    </row>
    <row r="248">
      <c r="A248">
        <f>B248*IF(Calc!$D$105="?",0,1)</f>
        <v/>
      </c>
      <c r="B248" s="36" t="n">
        <v>3</v>
      </c>
      <c r="C248">
        <f>_xlfn.XLOOKUP(A248,Calc!$A$120:$A$125,Calc!$C$120:$C$125,"",0)</f>
        <v/>
      </c>
      <c r="D248">
        <f>_xlfn.XLOOKUP(A248,Calc!$A$120:$A$125,Calc!$D$120:$D$125,"",0)</f>
        <v/>
      </c>
      <c r="E248">
        <f>_xlfn.XLOOKUP(A248,Calc!$A$120:$A$125,Calc!$E$120:$E$125,"",0)</f>
        <v/>
      </c>
      <c r="F248" s="37">
        <f>_xlfn.XLOOKUP(A248,Calc!$A$120:$A$125,Calc!$F$120:$F$125,"",0)</f>
        <v/>
      </c>
    </row>
    <row r="249">
      <c r="A249">
        <f>B249*IF(Calc!$D$105="?",0,1)</f>
        <v/>
      </c>
      <c r="B249" s="36" t="n">
        <v>4</v>
      </c>
      <c r="C249">
        <f>_xlfn.XLOOKUP(A249,Calc!$A$120:$A$125,Calc!$C$120:$C$125,"",0)</f>
        <v/>
      </c>
      <c r="D249">
        <f>_xlfn.XLOOKUP(A249,Calc!$A$120:$A$125,Calc!$D$120:$D$125,"",0)</f>
        <v/>
      </c>
      <c r="E249">
        <f>_xlfn.XLOOKUP(A249,Calc!$A$120:$A$125,Calc!$E$120:$E$125,"",0)</f>
        <v/>
      </c>
      <c r="F249" s="37">
        <f>_xlfn.XLOOKUP(A249,Calc!$A$120:$A$125,Calc!$F$120:$F$125,"",0)</f>
        <v/>
      </c>
    </row>
    <row r="250">
      <c r="A250">
        <f>B250*IF(Calc!$D$105="?",0,1)</f>
        <v/>
      </c>
      <c r="B250" s="36" t="n">
        <v>5</v>
      </c>
      <c r="C250">
        <f>_xlfn.XLOOKUP(A250,Calc!$A$120:$A$125,Calc!$C$120:$C$125,"",0)</f>
        <v/>
      </c>
      <c r="D250">
        <f>_xlfn.XLOOKUP(A250,Calc!$A$120:$A$125,Calc!$D$120:$D$125,"",0)</f>
        <v/>
      </c>
      <c r="E250">
        <f>_xlfn.XLOOKUP(A250,Calc!$A$120:$A$125,Calc!$E$120:$E$125,"",0)</f>
        <v/>
      </c>
      <c r="F250" s="37">
        <f>_xlfn.XLOOKUP(A250,Calc!$A$120:$A$125,Calc!$F$120:$F$125,"",0)</f>
        <v/>
      </c>
    </row>
    <row r="251" ht="15.95" customHeight="1" thickBot="1">
      <c r="A251">
        <f>B251*IF(Calc!$D$105="?",0,1)</f>
        <v/>
      </c>
      <c r="B251" s="38" t="n">
        <v>6</v>
      </c>
      <c r="C251" s="39">
        <f>_xlfn.XLOOKUP(A251,Calc!$A$120:$A$125,Calc!$C$120:$C$125,"",0)</f>
        <v/>
      </c>
      <c r="D251" s="39">
        <f>_xlfn.XLOOKUP(A251,Calc!$A$120:$A$125,Calc!$D$120:$D$125,"",0)</f>
        <v/>
      </c>
      <c r="E251" s="39">
        <f>_xlfn.XLOOKUP(A251,Calc!$A$120:$A$125,Calc!$E$120:$E$125,"",0)</f>
        <v/>
      </c>
      <c r="F251" s="40">
        <f>_xlfn.XLOOKUP(A251,Calc!$A$120:$A$125,Calc!$F$120:$F$125,"",0)</f>
        <v/>
      </c>
    </row>
  </sheetData>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ColWidth="9.140625" defaultRowHeight="15"/>
  <cols>
    <col width="11.28515625" bestFit="1" customWidth="1" style="1" min="1" max="1"/>
    <col width="80.7109375" customWidth="1" style="1" min="2" max="5"/>
    <col width="9.140625" customWidth="1" style="1" min="6" max="16384"/>
  </cols>
  <sheetData>
    <row r="1" ht="15.95" customFormat="1" customHeight="1" s="2" thickBot="1">
      <c r="A1" s="11" t="inlineStr">
        <is>
          <t>LALIST</t>
        </is>
      </c>
      <c r="B1" s="182" t="inlineStr">
        <is>
          <t>Nederlands</t>
        </is>
      </c>
      <c r="C1" s="182" t="inlineStr">
        <is>
          <t>Français</t>
        </is>
      </c>
      <c r="D1" s="183" t="inlineStr">
        <is>
          <t>English</t>
        </is>
      </c>
      <c r="E1" s="11" t="inlineStr">
        <is>
          <t>Selected</t>
        </is>
      </c>
    </row>
    <row r="2">
      <c r="B2" s="1">
        <f>"Overkapping 'Domino"&amp;IF(Calc!$D$18=1," PLUS","")&amp;"' - BxL="&amp;Configure!$G$15</f>
        <v/>
      </c>
      <c r="C2" s="1">
        <f>"Auvent 'Domino"&amp;IF(Calc!$D$18=1," PLUS","")&amp;"' - LxL="&amp;Configure!$G$15</f>
        <v/>
      </c>
      <c r="D2" s="1">
        <f>"Shelter 'Domino"&amp;IF(Calc!$D$18=1," PLUS","")&amp;"' - WxL="&amp;Configure!$G$15</f>
        <v/>
      </c>
      <c r="E2" s="1">
        <f>_xlfn.XLOOKUP('PRC import'!$H$3,LALIST,Language!B2:D2)</f>
        <v/>
      </c>
    </row>
    <row r="3">
      <c r="B3" s="1" t="inlineStr">
        <is>
          <t>Oppervlaktebehandeling - verzinkt</t>
        </is>
      </c>
      <c r="C3" s="1" t="inlineStr">
        <is>
          <t>Traitement de surface - galvanisé</t>
        </is>
      </c>
      <c r="D3" s="1" t="inlineStr">
        <is>
          <t>Surface treatment - galvanized</t>
        </is>
      </c>
      <c r="E3" s="1">
        <f>_xlfn.XLOOKUP('PRC import'!$H$3,LALIST,Language!B3:D3)</f>
        <v/>
      </c>
    </row>
    <row r="4">
      <c r="B4" s="1" t="inlineStr">
        <is>
          <t>Oppervlaktebehandeling - verzinkt en gepoedercoat</t>
        </is>
      </c>
      <c r="C4" s="1" t="inlineStr">
        <is>
          <t>Traitement de surface - galvanisé et thermolaqué</t>
        </is>
      </c>
      <c r="D4" s="1" t="inlineStr">
        <is>
          <t>Surface treatment - galvanized and powder coated</t>
        </is>
      </c>
      <c r="E4" s="1">
        <f>_xlfn.XLOOKUP('PRC import'!$H$3,LALIST,Language!B4:D4)</f>
        <v/>
      </c>
    </row>
    <row r="5">
      <c r="B5" s="1" t="inlineStr">
        <is>
          <t>Oppervlaktebehandeling - verzinkt - enkel dakrand gepoedercoat</t>
        </is>
      </c>
      <c r="C5" s="1" t="inlineStr">
        <is>
          <t>Traitement de surface - galvanisé - juste bord de toit thermolaqué</t>
        </is>
      </c>
      <c r="D5" s="1" t="inlineStr">
        <is>
          <t>Surface treatment - galvanized - only roof edge powder coated</t>
        </is>
      </c>
      <c r="E5" s="1">
        <f>_xlfn.XLOOKUP('PRC import'!$H$3,LALIST,Language!B5:D5)</f>
        <v/>
      </c>
    </row>
    <row r="6">
      <c r="B6" s="1" t="inlineStr">
        <is>
          <t>Dakbedekking in geprofileerde staalplaat (onderzijde gebroken wit - bovenzijde RAL7016)</t>
        </is>
      </c>
      <c r="C6" s="1" t="inlineStr">
        <is>
          <t>Toiture en tôle d'acier profilée (intérieur blanc cassé - extérieur RAL7016)</t>
        </is>
      </c>
      <c r="D6" s="1" t="inlineStr">
        <is>
          <t>Roof in profiled steel sheet (bottom off-white - top RAL7016)</t>
        </is>
      </c>
      <c r="E6" s="1">
        <f>_xlfn.XLOOKUP('PRC import'!$H$3,LALIST,Language!B6:D6)</f>
        <v/>
      </c>
    </row>
    <row r="7">
      <c r="B7" s="1" t="inlineStr">
        <is>
          <t>Dakbedekking in geprofileerd massief polycarbonaat (helder)</t>
        </is>
      </c>
      <c r="C7" s="1" t="inlineStr">
        <is>
          <t>Toiture en polycarbonate solide profilé (transparent)</t>
        </is>
      </c>
      <c r="D7" s="1" t="inlineStr">
        <is>
          <t>Roof in profiled solid polycarbonate (clear)</t>
        </is>
      </c>
      <c r="E7" s="1">
        <f>_xlfn.XLOOKUP('PRC import'!$H$3,LALIST,Language!B7:D7)</f>
        <v/>
      </c>
    </row>
    <row r="8">
      <c r="B8" s="1">
        <f t="array" ref="B8">"Wandbekleding in Nylofor-2D ("&amp;_xlfn.SWITCH(Calc!D38, 1, "RAL6005", 2, "RAL7016", 3, "RAL9005", 4, "verzinkt", "")&amp;") - H="&amp;2.03+Calc!D18*0.65&amp;"m"&amp;IF((Calc!D40+Calc!D42)&gt;0," - "&amp;(Calc!D40+Calc!D42)&amp;"x L="&amp;Calc!D9&amp;"m","")&amp;IF((Calc!D39+Calc!D41)&gt;0," - "&amp;(Calc!D39+Calc!D41)&amp;"x L="&amp;Calc!D10&amp;"m","")</f>
        <v/>
      </c>
      <c r="C8" s="1">
        <f t="array" ref="C8">"Parois en Nylofor-2D ("&amp;_xlfn.SWITCH(Calc!D38, 1, "RAL6005", 2, "RAL7016", 3, "RAL9005", 4, "galvanisé", "")&amp;") - H="&amp;2.03+Calc!D18*0.65&amp;"m"&amp;IF((Calc!D40+Calc!D42)&gt;0," - "&amp;(Calc!D40+Calc!D42)&amp;"x L="&amp;Calc!D9&amp;"m","")&amp;IF((Calc!D39+Calc!D41)&gt;0," - "&amp;(Calc!D39+Calc!D41)&amp;"x L="&amp;Calc!D10&amp;"m","")</f>
        <v/>
      </c>
      <c r="D8" s="1">
        <f t="array" ref="D8">"Wall cladding in Nylofor-2D ("&amp;_xlfn.SWITCH(Calc!D38, 1, "RAL6005", 2, "RAL7016", 3, "RAL9005", 4, "galvanized", "")&amp;") - H="&amp;2.03+Calc!D18*0.65&amp;"m"&amp;IF((Calc!D40+Calc!D42)&gt;0," - "&amp;(Calc!D40+Calc!D42)&amp;"x L="&amp;Calc!D9&amp;"m","")&amp;IF((Calc!D39+Calc!D41)&gt;0," - "&amp;(Calc!D39+Calc!D41)&amp;"x L="&amp;Calc!D10&amp;"m","")</f>
        <v/>
      </c>
      <c r="E8" s="1">
        <f>_xlfn.XLOOKUP('PRC import'!$H$3,LALIST,Language!B8:D8)</f>
        <v/>
      </c>
    </row>
    <row r="9">
      <c r="B9" s="1">
        <f>"Wandbekleding in Thermowood - H="&amp;2.15+Calc!D18*0.65&amp;"m"&amp;IF((Calc!D40+Calc!D42)&gt;0," - "&amp;(Calc!D40+Calc!D42)&amp;"x L="&amp;Calc!D9&amp;"m","")&amp;IF((Calc!D39+Calc!D41)&gt;0," - "&amp;(Calc!D39+Calc!D41)&amp;"x L="&amp;Calc!D10&amp;"m","")</f>
        <v/>
      </c>
      <c r="C9" s="1">
        <f>"Parois en Thermowood - H="&amp;2.15+Calc!D18*0.65&amp;"m"&amp;IF((Calc!D40+Calc!D42)&gt;0," - "&amp;(Calc!D40+Calc!D42)&amp;"x L="&amp;Calc!D9&amp;"m","")&amp;IF((Calc!D39+Calc!D41)&gt;0," - "&amp;(Calc!D39+Calc!D41)&amp;"x L="&amp;Calc!D10&amp;"m","")</f>
        <v/>
      </c>
      <c r="D9" s="1">
        <f>"Wall cladding in Thermowood - H="&amp;2.15+Calc!D18*0.65&amp;"m"&amp;IF((Calc!D40+Calc!D42)&gt;0," - "&amp;(Calc!D40+Calc!D42)&amp;"x L="&amp;Calc!D9&amp;"m","")&amp;IF((Calc!D39+Calc!D41)&gt;0," - "&amp;(Calc!D39+Calc!D41)&amp;"x L="&amp;Calc!D10&amp;"m","")</f>
        <v/>
      </c>
      <c r="E9" s="1">
        <f>_xlfn.XLOOKUP('PRC import'!$H$3,LALIST,Language!B9:D9)</f>
        <v/>
      </c>
    </row>
    <row r="10">
      <c r="B10" s="1">
        <f>"Wandbekleding in gehard glas - H="&amp;2.15+Calc!D18*0.65&amp;"m"&amp;IF((Calc!D40+Calc!D42)&gt;0," - "&amp;(Calc!D40+Calc!D42)&amp;"x L="&amp;Calc!D9&amp;"m","")&amp;IF((Calc!D39+Calc!D41)&gt;0," - "&amp;(Calc!D39+Calc!D41)&amp;"x L="&amp;Calc!D10&amp;"m","")</f>
        <v/>
      </c>
      <c r="C10" s="1">
        <f>"Parois en verre trempé - H="&amp;2.15+Calc!D18*0.65&amp;"m"&amp;IF((Calc!D40+Calc!D42)&gt;0," - "&amp;(Calc!D40+Calc!D42)&amp;"x L="&amp;Calc!D9&amp;"m","")&amp;IF((Calc!D39+Calc!D41)&gt;0," - "&amp;(Calc!D39+Calc!D41)&amp;"x L="&amp;Calc!D10&amp;"m","")</f>
        <v/>
      </c>
      <c r="D10" s="1">
        <f>"Wall cladding in tempered glass - H="&amp;2.15+Calc!D18*0.65&amp;"m"&amp;IF((Calc!D40+Calc!D42)&gt;0," - "&amp;(Calc!D40+Calc!D42)&amp;"x L="&amp;Calc!D9&amp;"m","")&amp;IF((Calc!D39+Calc!D41)&gt;0," - "&amp;(Calc!D39+Calc!D41)&amp;"x L="&amp;Calc!D10&amp;"m","")</f>
        <v/>
      </c>
      <c r="E10" s="1">
        <f>_xlfn.XLOOKUP('PRC import'!$H$3,LALIST,Language!B10:D10)</f>
        <v/>
      </c>
    </row>
    <row r="11">
      <c r="B11" s="1">
        <f>"Ingang - " &amp; _xlfn.TEXTJOIN(" - ", TRUE,
  IF(Calc!D50&gt;0, Calc!D50 &amp; "x wandopening 2,03m", ""),
  IF(Calc!D51&gt;0, Calc!D51 &amp; "x wandopening 2,53m", ""),
  IF(Calc!D52&gt;0, Calc!D52 &amp; "x enkele draaipoort 2,03m", ""),
  IF(Calc!D53&gt;0, Calc!D53 &amp; "x enkele draaipoort 2,53m", ""),
  IF(Calc!D54&gt;0, Calc!D54 &amp; "x dubbele draaipoort 2,03m", ""),
  IF(Calc!D55&gt;0, Calc!D55 &amp; "x dubbele draaipoort 2,53m", "")
)</f>
        <v/>
      </c>
      <c r="C11" s="1">
        <f>"Entrée - " &amp; _xlfn.TEXTJOIN(" - ", TRUE,
  IF(Calc!D50&gt;0, Calc!D50 &amp; "x ouverture murale 2,03m", ""),
  IF(Calc!D51&gt;0, Calc!D51 &amp; "x ouverture murale 2,53m", ""),
  IF(Calc!D52&gt;0, Calc!D52 &amp; "x portail battant simple 2,03m", ""),
  IF(Calc!D53&gt;0, Calc!D53 &amp; "x portail battant simple 2,53m", ""),
  IF(Calc!D54&gt;0, Calc!D54 &amp; "x portail battant double 2,03m", ""),
  IF(Calc!D55&gt;0, Calc!D55 &amp; "x portail battant double 2,53m", "")
)</f>
        <v/>
      </c>
      <c r="D11" s="1">
        <f>"Entrance - " &amp; _xlfn.TEXTJOIN(" - ", TRUE,
  IF(Calc!D50&gt;0, Calc!D50 &amp; "x wall opening 2,03m", ""),
  IF(Calc!D51&gt;0, Calc!D51 &amp; "x wall opening 2,53m", ""),
  IF(Calc!D52&gt;0, Calc!D52 &amp; "x single swing gate 2,03m", ""),
  IF(Calc!D53&gt;0, Calc!D53 &amp; "x single swing gate 2,53m", ""),
  IF(Calc!D54&gt;0, Calc!D54 &amp; "x double swing gate 2,03m", ""),
  IF(Calc!D55&gt;0, Calc!D55 &amp; "x double swing gate 2,53m", "")
)</f>
        <v/>
      </c>
      <c r="E11" s="1">
        <f>_xlfn.XLOOKUP('PRC import'!$H$3,LALIST,Language!B11:D11)</f>
        <v/>
      </c>
    </row>
    <row r="12">
      <c r="B12" s="1">
        <f t="array" ref="B12">"Zonder "&amp;_xlfn.SWITCH(Calc!D37,1,"Nylofor 2D",2,"Thermowood",3,"glas","")&amp;" - kolommen / gordingen blijven"</f>
        <v/>
      </c>
      <c r="C12" s="1">
        <f t="array" ref="C12">"Sans "&amp;_xlfn.SWITCH(Calc!D37,1,"Nylofor 2D",2,"Thermowood",3,"verre","")&amp;" - colonnes / montants restent"</f>
        <v/>
      </c>
      <c r="D12" s="1">
        <f t="array" ref="D12">"Without "&amp;_xlfn.SWITCH(Calc!D37,1,"Nylofor 2D",2,"Thermowood",3,"glass","")&amp;" - columns / girders remain"</f>
        <v/>
      </c>
      <c r="E12" s="1">
        <f>_xlfn.XLOOKUP('PRC import'!$H$3,LALIST,Language!B12:D12)</f>
        <v/>
      </c>
    </row>
    <row r="13">
      <c r="B13" s="1" t="inlineStr">
        <is>
          <t>Met poortbeslag - eurocilinderslot</t>
        </is>
      </c>
      <c r="C13" s="1" t="inlineStr">
        <is>
          <t>Avec accessoires de portail - serrure à cylindre européen</t>
        </is>
      </c>
      <c r="D13" s="1" t="inlineStr">
        <is>
          <t>With gate hardware - euro cylinder lock</t>
        </is>
      </c>
      <c r="E13" s="1">
        <f>_xlfn.XLOOKUP('PRC import'!$H$3,LALIST,Language!B13:D13)</f>
        <v/>
      </c>
    </row>
    <row r="14">
      <c r="B14" s="1" t="inlineStr">
        <is>
          <t>Met poortbeslag - mechanisch codeslot - dubbelzijdig</t>
        </is>
      </c>
      <c r="C14" s="1" t="inlineStr">
        <is>
          <t>Avec accessoires de portail - serrure à code mécanique - double face</t>
        </is>
      </c>
      <c r="D14" s="1" t="inlineStr">
        <is>
          <t>With gate hardware - mechanical code lock - double sided</t>
        </is>
      </c>
      <c r="E14" s="1">
        <f>_xlfn.XLOOKUP('PRC import'!$H$3,LALIST,Language!B14:D14)</f>
        <v/>
      </c>
    </row>
    <row r="15">
      <c r="B15" s="1" t="inlineStr">
        <is>
          <t>Met poortbeslag - batterijgevoed codeslot - dubbelzijdig</t>
        </is>
      </c>
      <c r="C15" s="1" t="inlineStr">
        <is>
          <t>Avec accessoires de portail - serrure à code sur batterie - double face</t>
        </is>
      </c>
      <c r="D15" s="1" t="inlineStr">
        <is>
          <t>With gate hardware - battery powered code lock - double sided</t>
        </is>
      </c>
      <c r="E15" s="1">
        <f>_xlfn.XLOOKUP('PRC import'!$H$3,LALIST,Language!B15:D15)</f>
        <v/>
      </c>
    </row>
    <row r="16">
      <c r="B16" s="1" t="inlineStr">
        <is>
          <t>Zonder poortbeslag (slotkast - slotvanger - krukpaar - grondgrendel - cilinder)</t>
        </is>
      </c>
      <c r="C16" s="1" t="inlineStr">
        <is>
          <t>Sans accessoires de portail (serrure - gâche - poignées - verrou de sol - cylindre)</t>
        </is>
      </c>
      <c r="D16" s="1" t="inlineStr">
        <is>
          <t>Without gate hardware (lock - keep - handles - drop bolt - cylinder)</t>
        </is>
      </c>
      <c r="E16" s="1">
        <f>_xlfn.XLOOKUP('PRC import'!$H$3,LALIST,Language!B16:D16)</f>
        <v/>
      </c>
    </row>
    <row r="17">
      <c r="B17" s="1">
        <f>"LED verlichting - "&amp;Calc!D26*Calc!D29&amp;" "&amp;IF(Calc!D26*Calc!D29&gt;1,"armaturen","armatuur")&amp;" - bekabeling in opbouw"</f>
        <v/>
      </c>
      <c r="C17" s="1">
        <f>"Eclairage LED - "&amp;Calc!D26*Calc!D29&amp;" "&amp;IF(Calc!D26*Calc!D29&gt;1,"luminaires","luminaire")&amp;" - câbles en apparent"</f>
        <v/>
      </c>
      <c r="D17" s="1">
        <f>"LED lighting - "&amp;Calc!D26*Calc!D29&amp;" "&amp;IF(Calc!D26*Calc!D29&gt;1,"fixtures","fixture")&amp;" - surface-mounted wiring"</f>
        <v/>
      </c>
      <c r="E17" s="1">
        <f>_xlfn.XLOOKUP('PRC import'!$H$3,LALIST,Language!B17:D17)</f>
        <v/>
      </c>
    </row>
    <row r="18">
      <c r="B18" s="1">
        <f>"Dakrand - aluminium L-profiel - H=80mm"&amp;IF(Calc!D15=1," - gepoedercoat","")</f>
        <v/>
      </c>
      <c r="C18" s="1">
        <f>"Bordure de toit - cornière en aluminium - H=80mm"&amp;IF(Calc!D15=1," - thermolaqué","")</f>
        <v/>
      </c>
      <c r="D18" s="1">
        <f>"Roof edge trim - aluminium L-profile - H=80mm"&amp;IF(Calc!D15=1," - powder coated","")</f>
        <v/>
      </c>
      <c r="E18" s="1">
        <f>_xlfn.XLOOKUP('PRC import'!$H$3,LALIST,Language!B18:D18)</f>
        <v/>
      </c>
    </row>
    <row r="19">
      <c r="B19" s="1" t="inlineStr">
        <is>
          <t>Chemische verankering - ETA-21/0168</t>
        </is>
      </c>
      <c r="C19" s="1" t="inlineStr">
        <is>
          <t>Ancrage chimique - ETA-21/0168</t>
        </is>
      </c>
      <c r="D19" s="1" t="inlineStr">
        <is>
          <t>Chemical anchoring - ETA-21/0168</t>
        </is>
      </c>
      <c r="E19" s="1">
        <f>_xlfn.XLOOKUP('PRC import'!$H$3,LALIST,Language!B19:D19)</f>
        <v/>
      </c>
    </row>
    <row r="20">
      <c r="B20" s="1">
        <f>IF(Calc!D67=1,"Inclusief ","Exclusief ")&amp;"montage en transport"</f>
        <v/>
      </c>
      <c r="C20" s="1">
        <f>"Montage et transport"&amp;IF(Calc!D67=1," inclus"," exclus")</f>
        <v/>
      </c>
      <c r="D20" s="1">
        <f>"Installation and transport"&amp;IF(Calc!D67=1," included"," excluded")</f>
        <v/>
      </c>
      <c r="E20" s="1">
        <f>_xlfn.XLOOKUP('PRC import'!$H$3,LALIST,Language!B20:D20)</f>
        <v/>
      </c>
    </row>
    <row r="21">
      <c r="B21" s="1" t="inlineStr">
        <is>
          <t>Exclusief funderingen</t>
        </is>
      </c>
      <c r="C21" s="1" t="inlineStr">
        <is>
          <t>Fondations exclus</t>
        </is>
      </c>
      <c r="D21" s="1" t="inlineStr">
        <is>
          <t>Foundations excluded</t>
        </is>
      </c>
      <c r="E21" s="1">
        <f>_xlfn.XLOOKUP('PRC import'!$H$3,LALIST,Language!B21:D21)</f>
        <v/>
      </c>
    </row>
  </sheetData>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M242"/>
  <sheetViews>
    <sheetView workbookViewId="0">
      <selection activeCell="C204" sqref="C204"/>
    </sheetView>
  </sheetViews>
  <sheetFormatPr baseColWidth="8" defaultColWidth="8.85546875" defaultRowHeight="15"/>
  <cols>
    <col width="12.7109375" bestFit="1" customWidth="1" min="1" max="1"/>
    <col width="71.42578125" bestFit="1" customWidth="1" min="2" max="2"/>
    <col width="5.28515625" bestFit="1" customWidth="1" min="3" max="3"/>
    <col width="11.28515625" bestFit="1" customWidth="1" min="4" max="4"/>
    <col width="15.42578125" bestFit="1" customWidth="1" min="5" max="5"/>
    <col width="7" bestFit="1" customWidth="1" min="6" max="6"/>
  </cols>
  <sheetData>
    <row r="1" customFormat="1" s="2">
      <c r="A1" s="2" t="inlineStr">
        <is>
          <t>CODE</t>
        </is>
      </c>
      <c r="B1" s="2" t="inlineStr">
        <is>
          <t>DESCR</t>
        </is>
      </c>
      <c r="C1" s="2" t="inlineStr">
        <is>
          <t>UNIT</t>
        </is>
      </c>
      <c r="D1" s="2" t="inlineStr">
        <is>
          <t>PRICE (EUR)</t>
        </is>
      </c>
      <c r="E1" s="2" t="inlineStr">
        <is>
          <t>MONTAGE (HRS)</t>
        </is>
      </c>
    </row>
    <row r="2">
      <c r="A2" s="79" t="inlineStr">
        <is>
          <t>43.13.07.0011</t>
        </is>
      </c>
      <c r="B2" s="79" t="inlineStr">
        <is>
          <t>Domino - Beam - 120x60x3 - L1890 - 8Ø13 - Galvanized</t>
        </is>
      </c>
      <c r="C2" s="79" t="inlineStr">
        <is>
          <t>st</t>
        </is>
      </c>
      <c r="D2">
        <f>_xlfn.XLOOKUP(A2,Price!A:A,Price!C:C,0,0)</f>
        <v/>
      </c>
      <c r="E2">
        <f>_xlfn.XLOOKUP(A2,Montage!A:A,Montage!C:C,0,0)+IF(Calc!$D$18=1,_xlfn.XLOOKUP(A2,Montage!A:A,Montage!D:D,0,0),0)</f>
        <v/>
      </c>
    </row>
    <row r="3">
      <c r="A3" s="79" t="inlineStr">
        <is>
          <t>43.13.07.0013</t>
        </is>
      </c>
      <c r="B3" s="79" t="inlineStr">
        <is>
          <t>Domino - Beam - 120x60x3 - L1890 - 8Ø13 - Powder Coated</t>
        </is>
      </c>
      <c r="C3" s="79" t="inlineStr">
        <is>
          <t>st</t>
        </is>
      </c>
      <c r="D3">
        <f>_xlfn.XLOOKUP(A3,Price!A:A,Price!C:C,0,0)</f>
        <v/>
      </c>
      <c r="E3">
        <f>_xlfn.XLOOKUP(A3,Montage!A:A,Montage!C:C,0,0)+IF(Calc!$D$18=1,_xlfn.XLOOKUP(A3,Montage!A:A,Montage!D:D,0,0),0)</f>
        <v/>
      </c>
    </row>
    <row r="4">
      <c r="A4" s="79" t="inlineStr">
        <is>
          <t>43.13.07.0004</t>
        </is>
      </c>
      <c r="B4" s="79" t="inlineStr">
        <is>
          <t>Domino - Beam - 120x60x3 - L2098 - 2Ø13 - Galvanized</t>
        </is>
      </c>
      <c r="C4" s="79" t="inlineStr">
        <is>
          <t>st</t>
        </is>
      </c>
      <c r="D4">
        <f>_xlfn.XLOOKUP(A4,Price!A:A,Price!C:C,0,0)</f>
        <v/>
      </c>
      <c r="E4">
        <f>_xlfn.XLOOKUP(A4,Montage!A:A,Montage!C:C,0,0)+IF(Calc!$D$18=1,_xlfn.XLOOKUP(A4,Montage!A:A,Montage!D:D,0,0),0)</f>
        <v/>
      </c>
    </row>
    <row r="5">
      <c r="A5" s="79" t="inlineStr">
        <is>
          <t>43.13.07.0008</t>
        </is>
      </c>
      <c r="B5" s="79" t="inlineStr">
        <is>
          <t>Domino - Beam - 120x60x3 - L2098 - 2Ø13 - Powder Coated</t>
        </is>
      </c>
      <c r="C5" s="79" t="inlineStr">
        <is>
          <t>st</t>
        </is>
      </c>
      <c r="D5">
        <f>_xlfn.XLOOKUP(A5,Price!A:A,Price!C:C,0,0)</f>
        <v/>
      </c>
      <c r="E5">
        <f>_xlfn.XLOOKUP(A5,Montage!A:A,Montage!C:C,0,0)+IF(Calc!$D$18=1,_xlfn.XLOOKUP(A5,Montage!A:A,Montage!D:D,0,0),0)</f>
        <v/>
      </c>
    </row>
    <row r="6">
      <c r="A6" s="79" t="inlineStr">
        <is>
          <t>43.13.07.0012</t>
        </is>
      </c>
      <c r="B6" s="79" t="inlineStr">
        <is>
          <t>Domino - Beam - 120x60x3 - L2390 - 8Ø13 - Galvanized</t>
        </is>
      </c>
      <c r="C6" s="79" t="inlineStr">
        <is>
          <t>st</t>
        </is>
      </c>
      <c r="D6">
        <f>_xlfn.XLOOKUP(A6,Price!A:A,Price!C:C,0,0)</f>
        <v/>
      </c>
      <c r="E6">
        <f>_xlfn.XLOOKUP(A6,Montage!A:A,Montage!C:C,0,0)+IF(Calc!$D$18=1,_xlfn.XLOOKUP(A6,Montage!A:A,Montage!D:D,0,0),0)</f>
        <v/>
      </c>
    </row>
    <row r="7">
      <c r="A7" s="79" t="inlineStr">
        <is>
          <t>43.13.07.0014</t>
        </is>
      </c>
      <c r="B7" s="79" t="inlineStr">
        <is>
          <t>Domino - Beam - 120x60x3 - L2390 - 8Ø13 - Powder Coated</t>
        </is>
      </c>
      <c r="C7" s="79" t="inlineStr">
        <is>
          <t>st</t>
        </is>
      </c>
      <c r="D7">
        <f>_xlfn.XLOOKUP(A7,Price!A:A,Price!C:C,0,0)</f>
        <v/>
      </c>
      <c r="E7">
        <f>_xlfn.XLOOKUP(A7,Montage!A:A,Montage!C:C,0,0)+IF(Calc!$D$18=1,_xlfn.XLOOKUP(A7,Montage!A:A,Montage!D:D,0,0),0)</f>
        <v/>
      </c>
    </row>
    <row r="8">
      <c r="A8" s="79" t="inlineStr">
        <is>
          <t>43.13.07.0015</t>
        </is>
      </c>
      <c r="B8" s="79" t="inlineStr">
        <is>
          <t>Domino - Beam - 120x60x3 - L2598 - 2Ø13 - Galvanized</t>
        </is>
      </c>
      <c r="C8" s="79" t="inlineStr">
        <is>
          <t>st</t>
        </is>
      </c>
      <c r="D8">
        <f>_xlfn.XLOOKUP(A8,Price!A:A,Price!C:C,0,0)</f>
        <v/>
      </c>
      <c r="E8">
        <f>_xlfn.XLOOKUP(A8,Montage!A:A,Montage!C:C,0,0)+IF(Calc!$D$18=1,_xlfn.XLOOKUP(A8,Montage!A:A,Montage!D:D,0,0),0)</f>
        <v/>
      </c>
    </row>
    <row r="9">
      <c r="A9" s="79" t="inlineStr">
        <is>
          <t>43.13.07.0016</t>
        </is>
      </c>
      <c r="B9" s="79" t="inlineStr">
        <is>
          <t>Domino - Beam - 120x60x3 - L2598 - 2Ø13 - Powder Coated</t>
        </is>
      </c>
      <c r="C9" s="79" t="inlineStr">
        <is>
          <t>st</t>
        </is>
      </c>
      <c r="D9">
        <f>_xlfn.XLOOKUP(A9,Price!A:A,Price!C:C,0,0)</f>
        <v/>
      </c>
      <c r="E9">
        <f>_xlfn.XLOOKUP(A9,Montage!A:A,Montage!C:C,0,0)+IF(Calc!$D$18=1,_xlfn.XLOOKUP(A9,Montage!A:A,Montage!D:D,0,0),0)</f>
        <v/>
      </c>
    </row>
    <row r="10">
      <c r="A10" s="79" t="inlineStr">
        <is>
          <t>43.13.07.0001</t>
        </is>
      </c>
      <c r="B10" s="79" t="inlineStr">
        <is>
          <t>Domino - Beam - 120x60x3 - L3920 - 8Ø13 - Galvanized</t>
        </is>
      </c>
      <c r="C10" s="79" t="inlineStr">
        <is>
          <t>st</t>
        </is>
      </c>
      <c r="D10">
        <f>_xlfn.XLOOKUP(A10,Price!A:A,Price!C:C,0,0)</f>
        <v/>
      </c>
      <c r="E10">
        <f>_xlfn.XLOOKUP(A10,Montage!A:A,Montage!C:C,0,0)+IF(Calc!$D$18=1,_xlfn.XLOOKUP(A10,Montage!A:A,Montage!D:D,0,0),0)</f>
        <v/>
      </c>
    </row>
    <row r="11">
      <c r="A11" s="79" t="inlineStr">
        <is>
          <t>43.13.07.0005</t>
        </is>
      </c>
      <c r="B11" s="79" t="inlineStr">
        <is>
          <t>Domino - Beam - 120x60x3 - L3920 - 8Ø13 - Powder Coated</t>
        </is>
      </c>
      <c r="C11" s="79" t="inlineStr">
        <is>
          <t>st</t>
        </is>
      </c>
      <c r="D11">
        <f>_xlfn.XLOOKUP(A11,Price!A:A,Price!C:C,0,0)</f>
        <v/>
      </c>
      <c r="E11">
        <f>_xlfn.XLOOKUP(A11,Montage!A:A,Montage!C:C,0,0)+IF(Calc!$D$18=1,_xlfn.XLOOKUP(A11,Montage!A:A,Montage!D:D,0,0),0)</f>
        <v/>
      </c>
    </row>
    <row r="12">
      <c r="A12" s="79" t="inlineStr">
        <is>
          <t>43.13.07.0002</t>
        </is>
      </c>
      <c r="B12" s="79" t="inlineStr">
        <is>
          <t>Domino - Beam - 120x60x3 - L4920 - 8Ø13 - Galvanized</t>
        </is>
      </c>
      <c r="C12" s="79" t="inlineStr">
        <is>
          <t>st</t>
        </is>
      </c>
      <c r="D12">
        <f>_xlfn.XLOOKUP(A12,Price!A:A,Price!C:C,0,0)</f>
        <v/>
      </c>
      <c r="E12">
        <f>_xlfn.XLOOKUP(A12,Montage!A:A,Montage!C:C,0,0)+IF(Calc!$D$18=1,_xlfn.XLOOKUP(A12,Montage!A:A,Montage!D:D,0,0),0)</f>
        <v/>
      </c>
    </row>
    <row r="13">
      <c r="A13" s="79" t="inlineStr">
        <is>
          <t>43.13.07.0006</t>
        </is>
      </c>
      <c r="B13" s="79" t="inlineStr">
        <is>
          <t>Domino - Beam - 120x60x3 - L4920 - 8Ø13 - Powder Coated</t>
        </is>
      </c>
      <c r="C13" s="79" t="inlineStr">
        <is>
          <t>st</t>
        </is>
      </c>
      <c r="D13">
        <f>_xlfn.XLOOKUP(A13,Price!A:A,Price!C:C,0,0)</f>
        <v/>
      </c>
      <c r="E13">
        <f>_xlfn.XLOOKUP(A13,Montage!A:A,Montage!C:C,0,0)+IF(Calc!$D$18=1,_xlfn.XLOOKUP(A13,Montage!A:A,Montage!D:D,0,0),0)</f>
        <v/>
      </c>
    </row>
    <row r="14">
      <c r="A14" s="79" t="inlineStr">
        <is>
          <t>43.13.07.0003</t>
        </is>
      </c>
      <c r="B14" s="79" t="inlineStr">
        <is>
          <t>Domino - Beam - 120x60x3 - L5950 - 8Ø13 - Galvanized</t>
        </is>
      </c>
      <c r="C14" s="79" t="inlineStr">
        <is>
          <t>st</t>
        </is>
      </c>
      <c r="D14">
        <f>_xlfn.XLOOKUP(A14,Price!A:A,Price!C:C,0,0)</f>
        <v/>
      </c>
      <c r="E14">
        <f>_xlfn.XLOOKUP(A14,Montage!A:A,Montage!C:C,0,0)+IF(Calc!$D$18=1,_xlfn.XLOOKUP(A14,Montage!A:A,Montage!D:D,0,0),0)</f>
        <v/>
      </c>
    </row>
    <row r="15">
      <c r="A15" s="79" t="inlineStr">
        <is>
          <t>43.13.07.0007</t>
        </is>
      </c>
      <c r="B15" s="79" t="inlineStr">
        <is>
          <t>Domino - Beam - 120x60x3 - L5950 - 8Ø13 - Powder Coated</t>
        </is>
      </c>
      <c r="C15" s="79" t="inlineStr">
        <is>
          <t>st</t>
        </is>
      </c>
      <c r="D15">
        <f>_xlfn.XLOOKUP(A15,Price!A:A,Price!C:C,0,0)</f>
        <v/>
      </c>
      <c r="E15">
        <f>_xlfn.XLOOKUP(A15,Montage!A:A,Montage!C:C,0,0)+IF(Calc!$D$18=1,_xlfn.XLOOKUP(A15,Montage!A:A,Montage!D:D,0,0),0)</f>
        <v/>
      </c>
    </row>
    <row r="16">
      <c r="A16" s="79" t="inlineStr">
        <is>
          <t>43.09.06.0015</t>
        </is>
      </c>
      <c r="B16" s="79" t="inlineStr">
        <is>
          <t>Domino - Beam Connector - Bracket - Galvanized</t>
        </is>
      </c>
      <c r="C16" s="79" t="inlineStr">
        <is>
          <t>st</t>
        </is>
      </c>
      <c r="D16">
        <f>_xlfn.XLOOKUP(A16,Price!A:A,Price!C:C,0,0)</f>
        <v/>
      </c>
      <c r="E16">
        <f>_xlfn.XLOOKUP(A16,Montage!A:A,Montage!C:C,0,0)+IF(Calc!$D$18=1,_xlfn.XLOOKUP(A16,Montage!A:A,Montage!D:D,0,0),0)</f>
        <v/>
      </c>
    </row>
    <row r="17">
      <c r="A17" s="79" t="inlineStr">
        <is>
          <t>43.09.06.0016</t>
        </is>
      </c>
      <c r="B17" s="79" t="inlineStr">
        <is>
          <t>Domino - Beam Connector - Bracket - Powder Coated</t>
        </is>
      </c>
      <c r="C17" s="79" t="inlineStr">
        <is>
          <t>st</t>
        </is>
      </c>
      <c r="D17">
        <f>_xlfn.XLOOKUP(A17,Price!A:A,Price!C:C,0,0)</f>
        <v/>
      </c>
      <c r="E17">
        <f>_xlfn.XLOOKUP(A17,Montage!A:A,Montage!C:C,0,0)+IF(Calc!$D$18=1,_xlfn.XLOOKUP(A17,Montage!A:A,Montage!D:D,0,0),0)</f>
        <v/>
      </c>
    </row>
    <row r="18">
      <c r="A18" s="79" t="inlineStr">
        <is>
          <t>43.09.06.0011</t>
        </is>
      </c>
      <c r="B18" s="79" t="inlineStr">
        <is>
          <t>Domino - Beam Connector - L-Profile - Galvanized</t>
        </is>
      </c>
      <c r="C18" s="79" t="inlineStr">
        <is>
          <t>st</t>
        </is>
      </c>
      <c r="D18">
        <f>_xlfn.XLOOKUP(A18,Price!A:A,Price!C:C,0,0)</f>
        <v/>
      </c>
      <c r="E18">
        <f>_xlfn.XLOOKUP(A18,Montage!A:A,Montage!C:C,0,0)+IF(Calc!$D$18=1,_xlfn.XLOOKUP(A18,Montage!A:A,Montage!D:D,0,0),0)</f>
        <v/>
      </c>
    </row>
    <row r="19">
      <c r="A19" s="79" t="inlineStr">
        <is>
          <t>43.09.06.0013</t>
        </is>
      </c>
      <c r="B19" s="79" t="inlineStr">
        <is>
          <t>Domino - Beam Connector - L-Profile - Powder Coated</t>
        </is>
      </c>
      <c r="C19" s="79" t="inlineStr">
        <is>
          <t>st</t>
        </is>
      </c>
      <c r="D19">
        <f>_xlfn.XLOOKUP(A19,Price!A:A,Price!C:C,0,0)</f>
        <v/>
      </c>
      <c r="E19">
        <f>_xlfn.XLOOKUP(A19,Montage!A:A,Montage!C:C,0,0)+IF(Calc!$D$18=1,_xlfn.XLOOKUP(A19,Montage!A:A,Montage!D:D,0,0),0)</f>
        <v/>
      </c>
    </row>
    <row r="20">
      <c r="A20" s="79" t="inlineStr">
        <is>
          <t>43.07.18.0009</t>
        </is>
      </c>
      <c r="B20" s="79" t="inlineStr">
        <is>
          <t>Domino - Brace - 50x2 - L3065 - Galvanized</t>
        </is>
      </c>
      <c r="C20" s="79" t="inlineStr">
        <is>
          <t>st</t>
        </is>
      </c>
      <c r="D20">
        <f>_xlfn.XLOOKUP(A20,Price!A:A,Price!C:C,0,0)</f>
        <v/>
      </c>
      <c r="E20">
        <f>_xlfn.XLOOKUP(A20,Montage!A:A,Montage!C:C,0,0)+IF(Calc!$D$18=1,_xlfn.XLOOKUP(A20,Montage!A:A,Montage!D:D,0,0),0)</f>
        <v/>
      </c>
    </row>
    <row r="21">
      <c r="A21" s="79" t="inlineStr">
        <is>
          <t>43.07.18.0011</t>
        </is>
      </c>
      <c r="B21" s="79" t="inlineStr">
        <is>
          <t>Domino - Brace - 50x2 - L3065 - Powder Coated</t>
        </is>
      </c>
      <c r="C21" s="79" t="inlineStr">
        <is>
          <t>st</t>
        </is>
      </c>
      <c r="D21">
        <f>_xlfn.XLOOKUP(A21,Price!A:A,Price!C:C,0,0)</f>
        <v/>
      </c>
      <c r="E21">
        <f>_xlfn.XLOOKUP(A21,Montage!A:A,Montage!C:C,0,0)+IF(Calc!$D$18=1,_xlfn.XLOOKUP(A21,Montage!A:A,Montage!D:D,0,0),0)</f>
        <v/>
      </c>
    </row>
    <row r="22">
      <c r="A22" s="79" t="inlineStr">
        <is>
          <t>43.07.18.0010</t>
        </is>
      </c>
      <c r="B22" s="79" t="inlineStr">
        <is>
          <t>Domino - Brace - 50x2 - L3399 - Galvanized</t>
        </is>
      </c>
      <c r="C22" s="79" t="inlineStr">
        <is>
          <t>st</t>
        </is>
      </c>
      <c r="D22">
        <f>_xlfn.XLOOKUP(A22,Price!A:A,Price!C:C,0,0)</f>
        <v/>
      </c>
      <c r="E22">
        <f>_xlfn.XLOOKUP(A22,Montage!A:A,Montage!C:C,0,0)+IF(Calc!$D$18=1,_xlfn.XLOOKUP(A22,Montage!A:A,Montage!D:D,0,0),0)</f>
        <v/>
      </c>
    </row>
    <row r="23">
      <c r="A23" s="79" t="inlineStr">
        <is>
          <t>43.07.18.0012</t>
        </is>
      </c>
      <c r="B23" s="79" t="inlineStr">
        <is>
          <t>Domino - Brace - 50x2 - L3399 - Powder Coated</t>
        </is>
      </c>
      <c r="C23" s="79" t="inlineStr">
        <is>
          <t>st</t>
        </is>
      </c>
      <c r="D23">
        <f>_xlfn.XLOOKUP(A23,Price!A:A,Price!C:C,0,0)</f>
        <v/>
      </c>
      <c r="E23">
        <f>_xlfn.XLOOKUP(A23,Montage!A:A,Montage!C:C,0,0)+IF(Calc!$D$18=1,_xlfn.XLOOKUP(A23,Montage!A:A,Montage!D:D,0,0),0)</f>
        <v/>
      </c>
    </row>
    <row r="24">
      <c r="A24" s="79" t="inlineStr">
        <is>
          <t>43.07.18.0015</t>
        </is>
      </c>
      <c r="B24" s="79" t="inlineStr">
        <is>
          <t>Domino - Brace - Flat 50x5 - L2262 - Galvanized</t>
        </is>
      </c>
      <c r="C24" s="79" t="inlineStr">
        <is>
          <t>st</t>
        </is>
      </c>
      <c r="D24">
        <f>_xlfn.XLOOKUP(A24,Price!A:A,Price!C:C,0,0)</f>
        <v/>
      </c>
      <c r="E24">
        <f>_xlfn.XLOOKUP(A24,Montage!A:A,Montage!C:C,0,0)+IF(Calc!$D$18=1,_xlfn.XLOOKUP(A24,Montage!A:A,Montage!D:D,0,0),0)</f>
        <v/>
      </c>
    </row>
    <row r="25">
      <c r="A25" s="79" t="inlineStr">
        <is>
          <t>43.07.18.0016</t>
        </is>
      </c>
      <c r="B25" s="79" t="inlineStr">
        <is>
          <t>Domino - Brace - Flat 50x5 - L2699 - Galvanized</t>
        </is>
      </c>
      <c r="C25" s="79" t="inlineStr">
        <is>
          <t>st</t>
        </is>
      </c>
      <c r="D25">
        <f>_xlfn.XLOOKUP(A25,Price!A:A,Price!C:C,0,0)</f>
        <v/>
      </c>
      <c r="E25">
        <f>_xlfn.XLOOKUP(A25,Montage!A:A,Montage!C:C,0,0)+IF(Calc!$D$18=1,_xlfn.XLOOKUP(A25,Montage!A:A,Montage!D:D,0,0),0)</f>
        <v/>
      </c>
    </row>
    <row r="26">
      <c r="A26" s="79" t="inlineStr">
        <is>
          <t>43.07.18.0017</t>
        </is>
      </c>
      <c r="B26" s="79" t="inlineStr">
        <is>
          <t>Domino - Brace - Flat 50x5 - L2262 - Powder Coated</t>
        </is>
      </c>
      <c r="C26" s="79" t="inlineStr">
        <is>
          <t>st</t>
        </is>
      </c>
      <c r="D26">
        <f>_xlfn.XLOOKUP(A26,Price!A:A,Price!C:C,0,0)</f>
        <v/>
      </c>
      <c r="E26">
        <f>_xlfn.XLOOKUP(A26,Montage!A:A,Montage!C:C,0,0)+IF(Calc!$D$18=1,_xlfn.XLOOKUP(A26,Montage!A:A,Montage!D:D,0,0),0)</f>
        <v/>
      </c>
    </row>
    <row r="27">
      <c r="A27" s="79" t="inlineStr">
        <is>
          <t>43.07.18.0018</t>
        </is>
      </c>
      <c r="B27" s="79" t="inlineStr">
        <is>
          <t>Domino - Brace - Flat 50x5 - L2699 - Powder Coated</t>
        </is>
      </c>
      <c r="C27" s="79" t="inlineStr">
        <is>
          <t>st</t>
        </is>
      </c>
      <c r="D27">
        <f>_xlfn.XLOOKUP(A27,Price!A:A,Price!C:C,0,0)</f>
        <v/>
      </c>
      <c r="E27">
        <f>_xlfn.XLOOKUP(A27,Montage!A:A,Montage!C:C,0,0)+IF(Calc!$D$18=1,_xlfn.XLOOKUP(A27,Montage!A:A,Montage!D:D,0,0),0)</f>
        <v/>
      </c>
    </row>
    <row r="28">
      <c r="A28" s="79" t="inlineStr">
        <is>
          <t>43.09.06.0017</t>
        </is>
      </c>
      <c r="B28" s="79" t="inlineStr">
        <is>
          <t>Domino - Brace Connector - Galvanized</t>
        </is>
      </c>
      <c r="C28" s="79" t="inlineStr">
        <is>
          <t>st</t>
        </is>
      </c>
      <c r="D28">
        <f>_xlfn.XLOOKUP(A28,Price!A:A,Price!C:C,0,0)</f>
        <v/>
      </c>
      <c r="E28">
        <f>_xlfn.XLOOKUP(A28,Montage!A:A,Montage!C:C,0,0)+IF(Calc!$D$18=1,_xlfn.XLOOKUP(A28,Montage!A:A,Montage!D:D,0,0),0)</f>
        <v/>
      </c>
    </row>
    <row r="29">
      <c r="A29" s="79" t="inlineStr">
        <is>
          <t>43.09.06.0018</t>
        </is>
      </c>
      <c r="B29" s="79" t="inlineStr">
        <is>
          <t>Domino - Brace Connector - Powder Coated</t>
        </is>
      </c>
      <c r="C29" s="79" t="inlineStr">
        <is>
          <t>st</t>
        </is>
      </c>
      <c r="D29">
        <f>_xlfn.XLOOKUP(A29,Price!A:A,Price!C:C,0,0)</f>
        <v/>
      </c>
      <c r="E29">
        <f>_xlfn.XLOOKUP(A29,Montage!A:A,Montage!C:C,0,0)+IF(Calc!$D$18=1,_xlfn.XLOOKUP(A29,Montage!A:A,Montage!D:D,0,0),0)</f>
        <v/>
      </c>
    </row>
    <row r="30">
      <c r="A30" s="79" t="inlineStr">
        <is>
          <t>43.06.14.0043</t>
        </is>
      </c>
      <c r="B30" s="79" t="inlineStr">
        <is>
          <t>Domino - Column - 80x3 - L2175 - 8Ø13 - 8Ø9 - Galvanized</t>
        </is>
      </c>
      <c r="C30" s="79" t="inlineStr">
        <is>
          <t>st</t>
        </is>
      </c>
      <c r="D30">
        <f>_xlfn.XLOOKUP(A30,Price!A:A,Price!C:C,0,0)</f>
        <v/>
      </c>
      <c r="E30">
        <f>_xlfn.XLOOKUP(A30,Montage!A:A,Montage!C:C,0,0)+IF(Calc!$D$18=1,_xlfn.XLOOKUP(A30,Montage!A:A,Montage!D:D,0,0),0)</f>
        <v/>
      </c>
    </row>
    <row r="31">
      <c r="A31" s="79" t="inlineStr">
        <is>
          <t>43.06.14.0047</t>
        </is>
      </c>
      <c r="B31" s="79" t="inlineStr">
        <is>
          <t>Domino - Column - 80x3 - L2175 - 8Ø13 - 8Ø9 - Powder Coated</t>
        </is>
      </c>
      <c r="C31" s="79" t="inlineStr">
        <is>
          <t>st</t>
        </is>
      </c>
      <c r="D31">
        <f>_xlfn.XLOOKUP(A31,Price!A:A,Price!C:C,0,0)</f>
        <v/>
      </c>
      <c r="E31">
        <f>_xlfn.XLOOKUP(A31,Montage!A:A,Montage!C:C,0,0)+IF(Calc!$D$18=1,_xlfn.XLOOKUP(A31,Montage!A:A,Montage!D:D,0,0),0)</f>
        <v/>
      </c>
    </row>
    <row r="32">
      <c r="A32" s="79" t="inlineStr">
        <is>
          <t>43.06.14.0041</t>
        </is>
      </c>
      <c r="B32" s="79" t="inlineStr">
        <is>
          <t>Domino - Column - 80x3 - L2175 - 8Ø13 - Galvanized</t>
        </is>
      </c>
      <c r="C32" s="79" t="inlineStr">
        <is>
          <t>st</t>
        </is>
      </c>
      <c r="D32">
        <f>_xlfn.XLOOKUP(A32,Price!A:A,Price!C:C,0,0)</f>
        <v/>
      </c>
      <c r="E32">
        <f>_xlfn.XLOOKUP(A32,Montage!A:A,Montage!C:C,0,0)+IF(Calc!$D$18=1,_xlfn.XLOOKUP(A32,Montage!A:A,Montage!D:D,0,0),0)</f>
        <v/>
      </c>
    </row>
    <row r="33">
      <c r="A33" s="79" t="inlineStr">
        <is>
          <t>43.06.14.0045</t>
        </is>
      </c>
      <c r="B33" s="79" t="inlineStr">
        <is>
          <t>Domino - Column - 80x3 - L2175 - 8Ø13 - Powder Coated</t>
        </is>
      </c>
      <c r="C33" s="79" t="inlineStr">
        <is>
          <t>st</t>
        </is>
      </c>
      <c r="D33">
        <f>_xlfn.XLOOKUP(A33,Price!A:A,Price!C:C,0,0)</f>
        <v/>
      </c>
      <c r="E33">
        <f>_xlfn.XLOOKUP(A33,Montage!A:A,Montage!C:C,0,0)+IF(Calc!$D$18=1,_xlfn.XLOOKUP(A33,Montage!A:A,Montage!D:D,0,0),0)</f>
        <v/>
      </c>
    </row>
    <row r="34">
      <c r="A34" s="79" t="inlineStr">
        <is>
          <t>43.06.14.0044</t>
        </is>
      </c>
      <c r="B34" s="79" t="inlineStr">
        <is>
          <t>Domino - Column - 80x3 - L2825 - 8Ø13 - 16Ø9 - Galvanized</t>
        </is>
      </c>
      <c r="C34" s="79" t="inlineStr">
        <is>
          <t>st</t>
        </is>
      </c>
      <c r="D34">
        <f>_xlfn.XLOOKUP(A34,Price!A:A,Price!C:C,0,0)</f>
        <v/>
      </c>
      <c r="E34">
        <f>_xlfn.XLOOKUP(A34,Montage!A:A,Montage!C:C,0,0)+IF(Calc!$D$18=1,_xlfn.XLOOKUP(A34,Montage!A:A,Montage!D:D,0,0),0)</f>
        <v/>
      </c>
    </row>
    <row r="35">
      <c r="A35" s="79" t="inlineStr">
        <is>
          <t>43.06.14.0048</t>
        </is>
      </c>
      <c r="B35" s="79" t="inlineStr">
        <is>
          <t>Domino - Column - 80x3 - L2825 - 8Ø13 - 16Ø9 - Powder Coated</t>
        </is>
      </c>
      <c r="C35" s="79" t="inlineStr">
        <is>
          <t>st</t>
        </is>
      </c>
      <c r="D35">
        <f>_xlfn.XLOOKUP(A35,Price!A:A,Price!C:C,0,0)</f>
        <v/>
      </c>
      <c r="E35">
        <f>_xlfn.XLOOKUP(A35,Montage!A:A,Montage!C:C,0,0)+IF(Calc!$D$18=1,_xlfn.XLOOKUP(A35,Montage!A:A,Montage!D:D,0,0),0)</f>
        <v/>
      </c>
    </row>
    <row r="36">
      <c r="A36" s="79" t="inlineStr">
        <is>
          <t>43.06.14.0042</t>
        </is>
      </c>
      <c r="B36" s="79" t="inlineStr">
        <is>
          <t>Domino - Column - 80x3 - L2825 - 8Ø13 - Galvanized</t>
        </is>
      </c>
      <c r="C36" s="79" t="inlineStr">
        <is>
          <t>st</t>
        </is>
      </c>
      <c r="D36">
        <f>_xlfn.XLOOKUP(A36,Price!A:A,Price!C:C,0,0)</f>
        <v/>
      </c>
      <c r="E36">
        <f>_xlfn.XLOOKUP(A36,Montage!A:A,Montage!C:C,0,0)+IF(Calc!$D$18=1,_xlfn.XLOOKUP(A36,Montage!A:A,Montage!D:D,0,0),0)</f>
        <v/>
      </c>
    </row>
    <row r="37">
      <c r="A37" s="79" t="inlineStr">
        <is>
          <t>43.06.14.0046</t>
        </is>
      </c>
      <c r="B37" s="79" t="inlineStr">
        <is>
          <t>Domino - Column - 80x3 - L2825 - 8Ø13 - Powder Coated</t>
        </is>
      </c>
      <c r="C37" s="79" t="inlineStr">
        <is>
          <t>st</t>
        </is>
      </c>
      <c r="D37">
        <f>_xlfn.XLOOKUP(A37,Price!A:A,Price!C:C,0,0)</f>
        <v/>
      </c>
      <c r="E37">
        <f>_xlfn.XLOOKUP(A37,Montage!A:A,Montage!C:C,0,0)+IF(Calc!$D$18=1,_xlfn.XLOOKUP(A37,Montage!A:A,Montage!D:D,0,0),0)</f>
        <v/>
      </c>
    </row>
    <row r="38">
      <c r="A38" s="79" t="inlineStr">
        <is>
          <t>43.03.10.0002</t>
        </is>
      </c>
      <c r="B38" s="79" t="inlineStr">
        <is>
          <t>Domino - Foot - 70x4 - L605 - Galvanized</t>
        </is>
      </c>
      <c r="C38" s="79" t="inlineStr">
        <is>
          <t>st</t>
        </is>
      </c>
      <c r="D38">
        <f>_xlfn.XLOOKUP(A38,Price!A:A,Price!C:C,0,0)</f>
        <v/>
      </c>
      <c r="E38">
        <f>_xlfn.XLOOKUP(A38,Montage!A:A,Montage!C:C,0,0)+IF(Calc!$D$18=1,_xlfn.XLOOKUP(A38,Montage!A:A,Montage!D:D,0,0),0)</f>
        <v/>
      </c>
    </row>
    <row r="39">
      <c r="A39" s="79" t="inlineStr">
        <is>
          <t>43.03.10.0001</t>
        </is>
      </c>
      <c r="B39" s="79" t="inlineStr">
        <is>
          <t>Domino - Foot - 70x4 - L605 - Outflow - Galvanized</t>
        </is>
      </c>
      <c r="C39" s="79" t="inlineStr">
        <is>
          <t>st</t>
        </is>
      </c>
      <c r="D39">
        <f>_xlfn.XLOOKUP(A39,Price!A:A,Price!C:C,0,0)</f>
        <v/>
      </c>
      <c r="E39">
        <f>_xlfn.XLOOKUP(A39,Montage!A:A,Montage!C:C,0,0)+IF(Calc!$D$18=1,_xlfn.XLOOKUP(A39,Montage!A:A,Montage!D:D,0,0),0)</f>
        <v/>
      </c>
    </row>
    <row r="40">
      <c r="A40" s="79" t="inlineStr">
        <is>
          <t>43.03.10.0004</t>
        </is>
      </c>
      <c r="B40" s="79" t="inlineStr">
        <is>
          <t>Domino - Foot - 70x4 - L605 - Outflow - Powder Coated</t>
        </is>
      </c>
      <c r="C40" s="79" t="inlineStr">
        <is>
          <t>st</t>
        </is>
      </c>
      <c r="D40">
        <f>_xlfn.XLOOKUP(A40,Price!A:A,Price!C:C,0,0)</f>
        <v/>
      </c>
      <c r="E40">
        <f>_xlfn.XLOOKUP(A40,Montage!A:A,Montage!C:C,0,0)+IF(Calc!$D$18=1,_xlfn.XLOOKUP(A40,Montage!A:A,Montage!D:D,0,0),0)</f>
        <v/>
      </c>
    </row>
    <row r="41">
      <c r="A41" s="79" t="inlineStr">
        <is>
          <t>43.03.10.0005</t>
        </is>
      </c>
      <c r="B41" s="79" t="inlineStr">
        <is>
          <t>Domino - Foot - 70x4 - L605 - Powder Coated</t>
        </is>
      </c>
      <c r="C41" s="79" t="inlineStr">
        <is>
          <t>st</t>
        </is>
      </c>
      <c r="D41">
        <f>_xlfn.XLOOKUP(A41,Price!A:A,Price!C:C,0,0)</f>
        <v/>
      </c>
      <c r="E41">
        <f>_xlfn.XLOOKUP(A41,Montage!A:A,Montage!C:C,0,0)+IF(Calc!$D$18=1,_xlfn.XLOOKUP(A41,Montage!A:A,Montage!D:D,0,0),0)</f>
        <v/>
      </c>
    </row>
    <row r="42">
      <c r="A42" s="79" t="inlineStr">
        <is>
          <t>43.03.10.0003</t>
        </is>
      </c>
      <c r="B42" s="79" t="inlineStr">
        <is>
          <t>Domino - Foot 70x50x3 - L600 - Galvanized</t>
        </is>
      </c>
      <c r="C42" s="79" t="inlineStr">
        <is>
          <t>st</t>
        </is>
      </c>
      <c r="D42">
        <f>_xlfn.XLOOKUP(A42,Price!A:A,Price!C:C,0,0)</f>
        <v/>
      </c>
      <c r="E42">
        <f>_xlfn.XLOOKUP(A42,Montage!A:A,Montage!C:C,0,0)+IF(Calc!$D$18=1,_xlfn.XLOOKUP(A42,Montage!A:A,Montage!D:D,0,0),0)</f>
        <v/>
      </c>
    </row>
    <row r="43">
      <c r="A43" s="79" t="inlineStr">
        <is>
          <t>43.03.10.0006</t>
        </is>
      </c>
      <c r="B43" s="79" t="inlineStr">
        <is>
          <t>Domino - Foot 70x50x3 - L600 - Powder coated</t>
        </is>
      </c>
      <c r="C43" s="79" t="inlineStr">
        <is>
          <t>st</t>
        </is>
      </c>
      <c r="D43">
        <f>_xlfn.XLOOKUP(A43,Price!A:A,Price!C:C,0,0)</f>
        <v/>
      </c>
      <c r="E43">
        <f>_xlfn.XLOOKUP(A43,Montage!A:A,Montage!C:C,0,0)+IF(Calc!$D$18=1,_xlfn.XLOOKUP(A43,Montage!A:A,Montage!D:D,0,0),0)</f>
        <v/>
      </c>
    </row>
    <row r="44">
      <c r="A44" s="79" t="inlineStr">
        <is>
          <t>44.02.06.0005</t>
        </is>
      </c>
      <c r="B44" s="79" t="inlineStr">
        <is>
          <t>Domino - Girder - 50x2 - L1948 - 6Ø13 - 6M10 - Galvanized</t>
        </is>
      </c>
      <c r="C44" s="79" t="inlineStr">
        <is>
          <t>st</t>
        </is>
      </c>
      <c r="D44">
        <f>_xlfn.XLOOKUP(A44,Price!A:A,Price!C:C,0,0)</f>
        <v/>
      </c>
      <c r="E44">
        <f>_xlfn.XLOOKUP(A44,Montage!A:A,Montage!C:C,0,0)+IF(Calc!$D$18=1,_xlfn.XLOOKUP(A44,Montage!A:A,Montage!D:D,0,0),0)</f>
        <v/>
      </c>
    </row>
    <row r="45">
      <c r="A45" s="79" t="inlineStr">
        <is>
          <t>44.02.06.0009</t>
        </is>
      </c>
      <c r="B45" s="79" t="inlineStr">
        <is>
          <t>Domino - Girder - 50x2 - L1948 - 6Ø13 - 6M10 - Powder Coated</t>
        </is>
      </c>
      <c r="C45" s="79" t="inlineStr">
        <is>
          <t>st</t>
        </is>
      </c>
      <c r="D45">
        <f>_xlfn.XLOOKUP(A45,Price!A:A,Price!C:C,0,0)</f>
        <v/>
      </c>
      <c r="E45">
        <f>_xlfn.XLOOKUP(A45,Montage!A:A,Montage!C:C,0,0)+IF(Calc!$D$18=1,_xlfn.XLOOKUP(A45,Montage!A:A,Montage!D:D,0,0),0)</f>
        <v/>
      </c>
    </row>
    <row r="46">
      <c r="A46" s="79" t="inlineStr">
        <is>
          <t>44.02.06.0006</t>
        </is>
      </c>
      <c r="B46" s="79" t="inlineStr">
        <is>
          <t>Domino - Girder - 50x2 - L2448 - 6Ø13 - 6M10 - Galvanized</t>
        </is>
      </c>
      <c r="C46" s="79" t="inlineStr">
        <is>
          <t>st</t>
        </is>
      </c>
      <c r="D46">
        <f>_xlfn.XLOOKUP(A46,Price!A:A,Price!C:C,0,0)</f>
        <v/>
      </c>
      <c r="E46">
        <f>_xlfn.XLOOKUP(A46,Montage!A:A,Montage!C:C,0,0)+IF(Calc!$D$18=1,_xlfn.XLOOKUP(A46,Montage!A:A,Montage!D:D,0,0),0)</f>
        <v/>
      </c>
    </row>
    <row r="47">
      <c r="A47" s="79" t="inlineStr">
        <is>
          <t>44.02.06.0010</t>
        </is>
      </c>
      <c r="B47" s="79" t="inlineStr">
        <is>
          <t>Domino - Girder - 50x2 - L2448 - 6Ø13 - 6M10 - Powder Coated</t>
        </is>
      </c>
      <c r="C47" s="79" t="inlineStr">
        <is>
          <t>st</t>
        </is>
      </c>
      <c r="D47">
        <f>_xlfn.XLOOKUP(A47,Price!A:A,Price!C:C,0,0)</f>
        <v/>
      </c>
      <c r="E47">
        <f>_xlfn.XLOOKUP(A47,Montage!A:A,Montage!C:C,0,0)+IF(Calc!$D$18=1,_xlfn.XLOOKUP(A47,Montage!A:A,Montage!D:D,0,0),0)</f>
        <v/>
      </c>
    </row>
    <row r="48">
      <c r="A48" s="79" t="inlineStr">
        <is>
          <t>44.02.06.0029</t>
        </is>
      </c>
      <c r="B48" s="79" t="inlineStr">
        <is>
          <t xml:space="preserve">Domino - Girder - 50x2 - L293mm - 2Ø13 - 2M10 - Galvanized </t>
        </is>
      </c>
      <c r="C48" s="79" t="inlineStr">
        <is>
          <t>st</t>
        </is>
      </c>
      <c r="D48">
        <f>_xlfn.XLOOKUP(A48,Price!A:A,Price!C:C,0,0)</f>
        <v/>
      </c>
      <c r="E48">
        <f>_xlfn.XLOOKUP(A48,Montage!A:A,Montage!C:C,0,0)+IF(Calc!$D$18=1,_xlfn.XLOOKUP(A48,Montage!A:A,Montage!D:D,0,0),0)</f>
        <v/>
      </c>
    </row>
    <row r="49">
      <c r="A49" s="79" t="inlineStr">
        <is>
          <t>44.02.06.0030</t>
        </is>
      </c>
      <c r="B49" s="79" t="inlineStr">
        <is>
          <t xml:space="preserve">Domino - Girder - 50x2 - L543mm - 2Ø13 - 2M10 - Galvanized </t>
        </is>
      </c>
      <c r="C49" s="79" t="inlineStr">
        <is>
          <t>st</t>
        </is>
      </c>
      <c r="D49">
        <f>_xlfn.XLOOKUP(A49,Price!A:A,Price!C:C,0,0)</f>
        <v/>
      </c>
      <c r="E49">
        <f>_xlfn.XLOOKUP(A49,Montage!A:A,Montage!C:C,0,0)+IF(Calc!$D$18=1,_xlfn.XLOOKUP(A49,Montage!A:A,Montage!D:D,0,0),0)</f>
        <v/>
      </c>
    </row>
    <row r="50">
      <c r="A50" s="79" t="inlineStr">
        <is>
          <t>44.02.06.0031</t>
        </is>
      </c>
      <c r="B50" s="79" t="inlineStr">
        <is>
          <t>Domino - Girder - 50x2 - L293mm - 2Ø13 - 2M10 - Powder coated</t>
        </is>
      </c>
      <c r="C50" s="79" t="inlineStr">
        <is>
          <t>st</t>
        </is>
      </c>
      <c r="D50">
        <f>_xlfn.XLOOKUP(A50,Price!A:A,Price!C:C,0,0)</f>
        <v/>
      </c>
      <c r="E50">
        <f>_xlfn.XLOOKUP(A50,Montage!A:A,Montage!C:C,0,0)+IF(Calc!$D$18=1,_xlfn.XLOOKUP(A50,Montage!A:A,Montage!D:D,0,0),0)</f>
        <v/>
      </c>
    </row>
    <row r="51">
      <c r="A51" s="79" t="inlineStr">
        <is>
          <t>44.02.06.0032</t>
        </is>
      </c>
      <c r="B51" s="79" t="inlineStr">
        <is>
          <t xml:space="preserve">Domino - Girder - 50x2 - L543mm - 2Ø13 - 2M10 - Powder coated </t>
        </is>
      </c>
      <c r="C51" s="79" t="inlineStr">
        <is>
          <t>st</t>
        </is>
      </c>
      <c r="D51">
        <f>_xlfn.XLOOKUP(A51,Price!A:A,Price!C:C,0,0)</f>
        <v/>
      </c>
      <c r="E51">
        <f>_xlfn.XLOOKUP(A51,Montage!A:A,Montage!C:C,0,0)+IF(Calc!$D$18=1,_xlfn.XLOOKUP(A51,Montage!A:A,Montage!D:D,0,0),0)</f>
        <v/>
      </c>
    </row>
    <row r="52">
      <c r="A52" s="79" t="inlineStr">
        <is>
          <t>37.60.06.0061</t>
        </is>
      </c>
      <c r="B52" s="79" t="inlineStr">
        <is>
          <t>Domino - Gutter G - L1890 - 6Ø13 - Cut 3 - Galvanized</t>
        </is>
      </c>
      <c r="C52" s="79" t="inlineStr">
        <is>
          <t>st</t>
        </is>
      </c>
      <c r="D52">
        <f>_xlfn.XLOOKUP(A52,Price!A:A,Price!C:C,0,0)</f>
        <v/>
      </c>
      <c r="E52">
        <f>_xlfn.XLOOKUP(A52,Montage!A:A,Montage!C:C,0,0)+IF(Calc!$D$18=1,_xlfn.XLOOKUP(A52,Montage!A:A,Montage!D:D,0,0),0)</f>
        <v/>
      </c>
    </row>
    <row r="53">
      <c r="A53" s="79" t="inlineStr">
        <is>
          <t>43.08.18.0011</t>
        </is>
      </c>
      <c r="B53" s="79" t="inlineStr">
        <is>
          <t>Domino - Gutter G - L1890 - 6Ø13 - Cut 3 - Powder Coated</t>
        </is>
      </c>
      <c r="C53" s="79" t="inlineStr">
        <is>
          <t>st</t>
        </is>
      </c>
      <c r="D53">
        <f>_xlfn.XLOOKUP(A53,Price!A:A,Price!C:C,0,0)</f>
        <v/>
      </c>
      <c r="E53">
        <f>_xlfn.XLOOKUP(A53,Montage!A:A,Montage!C:C,0,0)+IF(Calc!$D$18=1,_xlfn.XLOOKUP(A53,Montage!A:A,Montage!D:D,0,0),0)</f>
        <v/>
      </c>
    </row>
    <row r="54">
      <c r="A54" s="79" t="inlineStr">
        <is>
          <t>37.60.06.0160</t>
        </is>
      </c>
      <c r="B54" s="79" t="inlineStr">
        <is>
          <t>Domino - Gutter G - L1890 - 7Ø13 - Galvanized</t>
        </is>
      </c>
      <c r="C54" s="79" t="inlineStr">
        <is>
          <t>st</t>
        </is>
      </c>
      <c r="D54">
        <f>_xlfn.XLOOKUP(A54,Price!A:A,Price!C:C,0,0)</f>
        <v/>
      </c>
      <c r="E54">
        <f>_xlfn.XLOOKUP(A54,Montage!A:A,Montage!C:C,0,0)+IF(Calc!$D$18=1,_xlfn.XLOOKUP(A54,Montage!A:A,Montage!D:D,0,0),0)</f>
        <v/>
      </c>
    </row>
    <row r="55">
      <c r="A55" s="79" t="inlineStr">
        <is>
          <t>43.08.18.0021</t>
        </is>
      </c>
      <c r="B55" s="79" t="inlineStr">
        <is>
          <t>Domino - Gutter G - L1890 - 7Ø13 - Powder Coated</t>
        </is>
      </c>
      <c r="C55" s="79" t="inlineStr">
        <is>
          <t>st</t>
        </is>
      </c>
      <c r="D55">
        <f>_xlfn.XLOOKUP(A55,Price!A:A,Price!C:C,0,0)</f>
        <v/>
      </c>
      <c r="E55">
        <f>_xlfn.XLOOKUP(A55,Montage!A:A,Montage!C:C,0,0)+IF(Calc!$D$18=1,_xlfn.XLOOKUP(A55,Montage!A:A,Montage!D:D,0,0),0)</f>
        <v/>
      </c>
    </row>
    <row r="56">
      <c r="A56" s="79" t="inlineStr">
        <is>
          <t>37.60.06.0161</t>
        </is>
      </c>
      <c r="B56" s="79" t="inlineStr">
        <is>
          <t>Domino - Gutter G - L2390 - 6Ø13 - Cut 3 - Galvanized</t>
        </is>
      </c>
      <c r="C56" s="79" t="inlineStr">
        <is>
          <t>st</t>
        </is>
      </c>
      <c r="D56">
        <f>_xlfn.XLOOKUP(A56,Price!A:A,Price!C:C,0,0)</f>
        <v/>
      </c>
      <c r="E56">
        <f>_xlfn.XLOOKUP(A56,Montage!A:A,Montage!C:C,0,0)+IF(Calc!$D$18=1,_xlfn.XLOOKUP(A56,Montage!A:A,Montage!D:D,0,0),0)</f>
        <v/>
      </c>
    </row>
    <row r="57">
      <c r="A57" s="79" t="inlineStr">
        <is>
          <t>43.08.18.0022</t>
        </is>
      </c>
      <c r="B57" s="79" t="inlineStr">
        <is>
          <t>Domino - Gutter G - L2390 - 6Ø13 - Cut 3 - Powder Coated</t>
        </is>
      </c>
      <c r="C57" s="79" t="inlineStr">
        <is>
          <t>st</t>
        </is>
      </c>
      <c r="D57">
        <f>_xlfn.XLOOKUP(A57,Price!A:A,Price!C:C,0,0)</f>
        <v/>
      </c>
      <c r="E57">
        <f>_xlfn.XLOOKUP(A57,Montage!A:A,Montage!C:C,0,0)+IF(Calc!$D$18=1,_xlfn.XLOOKUP(A57,Montage!A:A,Montage!D:D,0,0),0)</f>
        <v/>
      </c>
    </row>
    <row r="58">
      <c r="A58" s="79" t="inlineStr">
        <is>
          <t>37.60.06.0162</t>
        </is>
      </c>
      <c r="B58" s="79" t="inlineStr">
        <is>
          <t>Domino - Gutter G - L2390 - 7Ø13 - Galvanized</t>
        </is>
      </c>
      <c r="C58" s="79" t="inlineStr">
        <is>
          <t>st</t>
        </is>
      </c>
      <c r="D58">
        <f>_xlfn.XLOOKUP(A58,Price!A:A,Price!C:C,0,0)</f>
        <v/>
      </c>
      <c r="E58">
        <f>_xlfn.XLOOKUP(A58,Montage!A:A,Montage!C:C,0,0)+IF(Calc!$D$18=1,_xlfn.XLOOKUP(A58,Montage!A:A,Montage!D:D,0,0),0)</f>
        <v/>
      </c>
    </row>
    <row r="59">
      <c r="A59" s="79" t="inlineStr">
        <is>
          <t>43.08.18.0023</t>
        </is>
      </c>
      <c r="B59" s="79" t="inlineStr">
        <is>
          <t>Domino - Gutter G - L2390 - 7Ø13 - Powder Coated</t>
        </is>
      </c>
      <c r="C59" s="79" t="inlineStr">
        <is>
          <t>st</t>
        </is>
      </c>
      <c r="D59">
        <f>_xlfn.XLOOKUP(A59,Price!A:A,Price!C:C,0,0)</f>
        <v/>
      </c>
      <c r="E59">
        <f>_xlfn.XLOOKUP(A59,Montage!A:A,Montage!C:C,0,0)+IF(Calc!$D$18=1,_xlfn.XLOOKUP(A59,Montage!A:A,Montage!D:D,0,0),0)</f>
        <v/>
      </c>
    </row>
    <row r="60">
      <c r="A60" s="79" t="inlineStr">
        <is>
          <t>37.60.06.0058</t>
        </is>
      </c>
      <c r="B60" s="79" t="inlineStr">
        <is>
          <t>Domino - Gutter G - L3920 - 9Ø13 - Galvanized</t>
        </is>
      </c>
      <c r="C60" s="79" t="inlineStr">
        <is>
          <t>st</t>
        </is>
      </c>
      <c r="D60">
        <f>_xlfn.XLOOKUP(A60,Price!A:A,Price!C:C,0,0)</f>
        <v/>
      </c>
      <c r="E60">
        <f>_xlfn.XLOOKUP(A60,Montage!A:A,Montage!C:C,0,0)+IF(Calc!$D$18=1,_xlfn.XLOOKUP(A60,Montage!A:A,Montage!D:D,0,0),0)</f>
        <v/>
      </c>
    </row>
    <row r="61">
      <c r="A61" s="79" t="inlineStr">
        <is>
          <t>43.08.18.0008</t>
        </is>
      </c>
      <c r="B61" s="79" t="inlineStr">
        <is>
          <t>Domino - Gutter G - L3920 - 9Ø13 - Powder Coated</t>
        </is>
      </c>
      <c r="C61" s="79" t="inlineStr">
        <is>
          <t>st</t>
        </is>
      </c>
      <c r="D61">
        <f>_xlfn.XLOOKUP(A61,Price!A:A,Price!C:C,0,0)</f>
        <v/>
      </c>
      <c r="E61">
        <f>_xlfn.XLOOKUP(A61,Montage!A:A,Montage!C:C,0,0)+IF(Calc!$D$18=1,_xlfn.XLOOKUP(A61,Montage!A:A,Montage!D:D,0,0),0)</f>
        <v/>
      </c>
    </row>
    <row r="62">
      <c r="A62" s="79" t="inlineStr">
        <is>
          <t>37.60.06.0059</t>
        </is>
      </c>
      <c r="B62" s="79" t="inlineStr">
        <is>
          <t>Domino - Gutter G - L4920 - 9Ø13 - Galvanized</t>
        </is>
      </c>
      <c r="C62" s="79" t="inlineStr">
        <is>
          <t>st</t>
        </is>
      </c>
      <c r="D62">
        <f>_xlfn.XLOOKUP(A62,Price!A:A,Price!C:C,0,0)</f>
        <v/>
      </c>
      <c r="E62">
        <f>_xlfn.XLOOKUP(A62,Montage!A:A,Montage!C:C,0,0)+IF(Calc!$D$18=1,_xlfn.XLOOKUP(A62,Montage!A:A,Montage!D:D,0,0),0)</f>
        <v/>
      </c>
    </row>
    <row r="63">
      <c r="A63" s="79" t="inlineStr">
        <is>
          <t>43.08.18.0009</t>
        </is>
      </c>
      <c r="B63" s="79" t="inlineStr">
        <is>
          <t>Domino - Gutter G - L4920 - 9Ø13 - Powder Coated</t>
        </is>
      </c>
      <c r="C63" s="79" t="inlineStr">
        <is>
          <t>st</t>
        </is>
      </c>
      <c r="D63">
        <f>_xlfn.XLOOKUP(A63,Price!A:A,Price!C:C,0,0)</f>
        <v/>
      </c>
      <c r="E63">
        <f>_xlfn.XLOOKUP(A63,Montage!A:A,Montage!C:C,0,0)+IF(Calc!$D$18=1,_xlfn.XLOOKUP(A63,Montage!A:A,Montage!D:D,0,0),0)</f>
        <v/>
      </c>
    </row>
    <row r="64">
      <c r="A64" s="79" t="inlineStr">
        <is>
          <t>37.60.06.0060</t>
        </is>
      </c>
      <c r="B64" s="79" t="inlineStr">
        <is>
          <t>Domino - Gutter G - L5950 - 10Ø13 - Galvanized</t>
        </is>
      </c>
      <c r="C64" s="79" t="inlineStr">
        <is>
          <t>st</t>
        </is>
      </c>
      <c r="D64">
        <f>_xlfn.XLOOKUP(A64,Price!A:A,Price!C:C,0,0)</f>
        <v/>
      </c>
      <c r="E64">
        <f>_xlfn.XLOOKUP(A64,Montage!A:A,Montage!C:C,0,0)+IF(Calc!$D$18=1,_xlfn.XLOOKUP(A64,Montage!A:A,Montage!D:D,0,0),0)</f>
        <v/>
      </c>
    </row>
    <row r="65">
      <c r="A65" s="79" t="inlineStr">
        <is>
          <t>43.08.18.0010</t>
        </is>
      </c>
      <c r="B65" s="79" t="inlineStr">
        <is>
          <t>Domino - Gutter G - L5950 - 10Ø13 - Powder Coated</t>
        </is>
      </c>
      <c r="C65" s="79" t="inlineStr">
        <is>
          <t>st</t>
        </is>
      </c>
      <c r="D65">
        <f>_xlfn.XLOOKUP(A65,Price!A:A,Price!C:C,0,0)</f>
        <v/>
      </c>
      <c r="E65">
        <f>_xlfn.XLOOKUP(A65,Montage!A:A,Montage!C:C,0,0)+IF(Calc!$D$18=1,_xlfn.XLOOKUP(A65,Montage!A:A,Montage!D:D,0,0),0)</f>
        <v/>
      </c>
    </row>
    <row r="66">
      <c r="A66" s="79" t="inlineStr">
        <is>
          <t>37.60.06.0163</t>
        </is>
      </c>
      <c r="B66" s="79" t="inlineStr">
        <is>
          <t>Domino - Gutter U - L1890 - 4Ø13 - Galvanized</t>
        </is>
      </c>
      <c r="C66" s="79" t="inlineStr">
        <is>
          <t>st</t>
        </is>
      </c>
      <c r="D66">
        <f>_xlfn.XLOOKUP(A66,Price!A:A,Price!C:C,0,0)</f>
        <v/>
      </c>
      <c r="E66">
        <f>_xlfn.XLOOKUP(A66,Montage!A:A,Montage!C:C,0,0)+IF(Calc!$D$18=1,_xlfn.XLOOKUP(A66,Montage!A:A,Montage!D:D,0,0),0)</f>
        <v/>
      </c>
    </row>
    <row r="67">
      <c r="A67" s="79" t="inlineStr">
        <is>
          <t>43.08.18.0024</t>
        </is>
      </c>
      <c r="B67" s="79" t="inlineStr">
        <is>
          <t>Domino - Gutter U - L1890 - 4Ø13 - Powder Coated</t>
        </is>
      </c>
      <c r="C67" s="79" t="inlineStr">
        <is>
          <t>st</t>
        </is>
      </c>
      <c r="D67">
        <f>_xlfn.XLOOKUP(A67,Price!A:A,Price!C:C,0,0)</f>
        <v/>
      </c>
      <c r="E67">
        <f>_xlfn.XLOOKUP(A67,Montage!A:A,Montage!C:C,0,0)+IF(Calc!$D$18=1,_xlfn.XLOOKUP(A67,Montage!A:A,Montage!D:D,0,0),0)</f>
        <v/>
      </c>
    </row>
    <row r="68">
      <c r="A68" s="79" t="inlineStr">
        <is>
          <t>37.60.06.0164</t>
        </is>
      </c>
      <c r="B68" s="79" t="inlineStr">
        <is>
          <t>Domino - Gutter U - L2390 - 4Ø13 - Galvanized</t>
        </is>
      </c>
      <c r="C68" s="79" t="inlineStr">
        <is>
          <t>st</t>
        </is>
      </c>
      <c r="D68">
        <f>_xlfn.XLOOKUP(A68,Price!A:A,Price!C:C,0,0)</f>
        <v/>
      </c>
      <c r="E68">
        <f>_xlfn.XLOOKUP(A68,Montage!A:A,Montage!C:C,0,0)+IF(Calc!$D$18=1,_xlfn.XLOOKUP(A68,Montage!A:A,Montage!D:D,0,0),0)</f>
        <v/>
      </c>
    </row>
    <row r="69">
      <c r="A69" s="79" t="inlineStr">
        <is>
          <t>43.08.18.0025</t>
        </is>
      </c>
      <c r="B69" s="79" t="inlineStr">
        <is>
          <t>Domino - Gutter U - L2390 - 4Ø13 - Powder Coated</t>
        </is>
      </c>
      <c r="C69" s="79" t="inlineStr">
        <is>
          <t>st</t>
        </is>
      </c>
      <c r="D69">
        <f>_xlfn.XLOOKUP(A69,Price!A:A,Price!C:C,0,0)</f>
        <v/>
      </c>
      <c r="E69">
        <f>_xlfn.XLOOKUP(A69,Montage!A:A,Montage!C:C,0,0)+IF(Calc!$D$18=1,_xlfn.XLOOKUP(A69,Montage!A:A,Montage!D:D,0,0),0)</f>
        <v/>
      </c>
    </row>
    <row r="70">
      <c r="A70" s="79" t="inlineStr">
        <is>
          <t>37.60.06.0165</t>
        </is>
      </c>
      <c r="B70" s="79" t="inlineStr">
        <is>
          <t>Domino - Gutter U - L3920 - 5Ø13 - Galvanized</t>
        </is>
      </c>
      <c r="C70" s="79" t="inlineStr">
        <is>
          <t>st</t>
        </is>
      </c>
      <c r="D70">
        <f>_xlfn.XLOOKUP(A70,Price!A:A,Price!C:C,0,0)</f>
        <v/>
      </c>
      <c r="E70">
        <f>_xlfn.XLOOKUP(A70,Montage!A:A,Montage!C:C,0,0)+IF(Calc!$D$18=1,_xlfn.XLOOKUP(A70,Montage!A:A,Montage!D:D,0,0),0)</f>
        <v/>
      </c>
    </row>
    <row r="71">
      <c r="A71" s="79" t="inlineStr">
        <is>
          <t>43.08.18.0026</t>
        </is>
      </c>
      <c r="B71" s="79" t="inlineStr">
        <is>
          <t>Domino - Gutter U - L3920 - 5Ø13 - Powder Coated</t>
        </is>
      </c>
      <c r="C71" s="79" t="inlineStr">
        <is>
          <t>st</t>
        </is>
      </c>
      <c r="D71">
        <f>_xlfn.XLOOKUP(A71,Price!A:A,Price!C:C,0,0)</f>
        <v/>
      </c>
      <c r="E71">
        <f>_xlfn.XLOOKUP(A71,Montage!A:A,Montage!C:C,0,0)+IF(Calc!$D$18=1,_xlfn.XLOOKUP(A71,Montage!A:A,Montage!D:D,0,0),0)</f>
        <v/>
      </c>
    </row>
    <row r="72">
      <c r="A72" s="79" t="inlineStr">
        <is>
          <t>37.60.06.0166</t>
        </is>
      </c>
      <c r="B72" s="79" t="inlineStr">
        <is>
          <t>Domino - Gutter U - L4920 - 5Ø13 - Galvanized</t>
        </is>
      </c>
      <c r="C72" s="79" t="inlineStr">
        <is>
          <t>st</t>
        </is>
      </c>
      <c r="D72">
        <f>_xlfn.XLOOKUP(A72,Price!A:A,Price!C:C,0,0)</f>
        <v/>
      </c>
      <c r="E72">
        <f>_xlfn.XLOOKUP(A72,Montage!A:A,Montage!C:C,0,0)+IF(Calc!$D$18=1,_xlfn.XLOOKUP(A72,Montage!A:A,Montage!D:D,0,0),0)</f>
        <v/>
      </c>
    </row>
    <row r="73">
      <c r="A73" s="79" t="inlineStr">
        <is>
          <t>43.08.18.0027</t>
        </is>
      </c>
      <c r="B73" s="79" t="inlineStr">
        <is>
          <t>Domino - Gutter U - L4920 - 5Ø13 - Powder Coated</t>
        </is>
      </c>
      <c r="C73" s="79" t="inlineStr">
        <is>
          <t>st</t>
        </is>
      </c>
      <c r="D73">
        <f>_xlfn.XLOOKUP(A73,Price!A:A,Price!C:C,0,0)</f>
        <v/>
      </c>
      <c r="E73">
        <f>_xlfn.XLOOKUP(A73,Montage!A:A,Montage!C:C,0,0)+IF(Calc!$D$18=1,_xlfn.XLOOKUP(A73,Montage!A:A,Montage!D:D,0,0),0)</f>
        <v/>
      </c>
    </row>
    <row r="74">
      <c r="A74" s="79" t="inlineStr">
        <is>
          <t>37.60.06.0167</t>
        </is>
      </c>
      <c r="B74" s="79" t="inlineStr">
        <is>
          <t>Domino - Gutter U - L5950 - 6Ø13 - Galvanized</t>
        </is>
      </c>
      <c r="C74" s="79" t="inlineStr">
        <is>
          <t>st</t>
        </is>
      </c>
      <c r="D74">
        <f>_xlfn.XLOOKUP(A74,Price!A:A,Price!C:C,0,0)</f>
        <v/>
      </c>
      <c r="E74">
        <f>_xlfn.XLOOKUP(A74,Montage!A:A,Montage!C:C,0,0)+IF(Calc!$D$18=1,_xlfn.XLOOKUP(A74,Montage!A:A,Montage!D:D,0,0),0)</f>
        <v/>
      </c>
    </row>
    <row r="75">
      <c r="A75" s="79" t="inlineStr">
        <is>
          <t>43.08.18.0028</t>
        </is>
      </c>
      <c r="B75" s="79" t="inlineStr">
        <is>
          <t>Domino - Gutter U - L5950 - 6Ø13 - Powder Coated</t>
        </is>
      </c>
      <c r="C75" s="79" t="inlineStr">
        <is>
          <t>st</t>
        </is>
      </c>
      <c r="D75">
        <f>_xlfn.XLOOKUP(A75,Price!A:A,Price!C:C,0,0)</f>
        <v/>
      </c>
      <c r="E75">
        <f>_xlfn.XLOOKUP(A75,Montage!A:A,Montage!C:C,0,0)+IF(Calc!$D$18=1,_xlfn.XLOOKUP(A75,Montage!A:A,Montage!D:D,0,0),0)</f>
        <v/>
      </c>
    </row>
    <row r="76">
      <c r="A76" s="79" t="inlineStr">
        <is>
          <t>43.09.06.0001</t>
        </is>
      </c>
      <c r="B76" s="79" t="inlineStr">
        <is>
          <t>Domino - Mof A - Galvanized</t>
        </is>
      </c>
      <c r="C76" s="79" t="inlineStr">
        <is>
          <t>st</t>
        </is>
      </c>
      <c r="D76">
        <f>_xlfn.XLOOKUP(A76,Price!A:A,Price!C:C,0,0)</f>
        <v/>
      </c>
      <c r="E76">
        <f>_xlfn.XLOOKUP(A76,Montage!A:A,Montage!C:C,0,0)+IF(Calc!$D$18=1,_xlfn.XLOOKUP(A76,Montage!A:A,Montage!D:D,0,0),0)</f>
        <v/>
      </c>
    </row>
    <row r="77">
      <c r="A77" s="79" t="inlineStr">
        <is>
          <t>43.09.06.0006</t>
        </is>
      </c>
      <c r="B77" s="79" t="inlineStr">
        <is>
          <t>Domino - Mof A - Powder Coated</t>
        </is>
      </c>
      <c r="C77" s="79" t="inlineStr">
        <is>
          <t>st</t>
        </is>
      </c>
      <c r="D77">
        <f>_xlfn.XLOOKUP(A77,Price!A:A,Price!C:C,0,0)</f>
        <v/>
      </c>
      <c r="E77">
        <f>_xlfn.XLOOKUP(A77,Montage!A:A,Montage!C:C,0,0)+IF(Calc!$D$18=1,_xlfn.XLOOKUP(A77,Montage!A:A,Montage!D:D,0,0),0)</f>
        <v/>
      </c>
    </row>
    <row r="78">
      <c r="A78" s="79" t="inlineStr">
        <is>
          <t>43.09.06.0002</t>
        </is>
      </c>
      <c r="B78" s="79" t="inlineStr">
        <is>
          <t>Domino - Mof B - Galvanized</t>
        </is>
      </c>
      <c r="C78" s="79" t="inlineStr">
        <is>
          <t>st</t>
        </is>
      </c>
      <c r="D78">
        <f>_xlfn.XLOOKUP(A78,Price!A:A,Price!C:C,0,0)</f>
        <v/>
      </c>
      <c r="E78">
        <f>_xlfn.XLOOKUP(A78,Montage!A:A,Montage!C:C,0,0)+IF(Calc!$D$18=1,_xlfn.XLOOKUP(A78,Montage!A:A,Montage!D:D,0,0),0)</f>
        <v/>
      </c>
    </row>
    <row r="79">
      <c r="A79" s="79" t="inlineStr">
        <is>
          <t>43.09.06.0007</t>
        </is>
      </c>
      <c r="B79" s="79" t="inlineStr">
        <is>
          <t>Domino - Mof B - Powder Coated</t>
        </is>
      </c>
      <c r="C79" s="79" t="inlineStr">
        <is>
          <t>st</t>
        </is>
      </c>
      <c r="D79">
        <f>_xlfn.XLOOKUP(A79,Price!A:A,Price!C:C,0,0)</f>
        <v/>
      </c>
      <c r="E79">
        <f>_xlfn.XLOOKUP(A79,Montage!A:A,Montage!C:C,0,0)+IF(Calc!$D$18=1,_xlfn.XLOOKUP(A79,Montage!A:A,Montage!D:D,0,0),0)</f>
        <v/>
      </c>
    </row>
    <row r="80">
      <c r="A80" s="79" t="inlineStr">
        <is>
          <t>43.09.06.0003</t>
        </is>
      </c>
      <c r="B80" s="79" t="inlineStr">
        <is>
          <t>Domino - Mof C - Galvanized</t>
        </is>
      </c>
      <c r="C80" s="79" t="inlineStr">
        <is>
          <t>st</t>
        </is>
      </c>
      <c r="D80">
        <f>_xlfn.XLOOKUP(A80,Price!A:A,Price!C:C,0,0)</f>
        <v/>
      </c>
      <c r="E80">
        <f>_xlfn.XLOOKUP(A80,Montage!A:A,Montage!C:C,0,0)+IF(Calc!$D$18=1,_xlfn.XLOOKUP(A80,Montage!A:A,Montage!D:D,0,0),0)</f>
        <v/>
      </c>
    </row>
    <row r="81">
      <c r="A81" s="79" t="inlineStr">
        <is>
          <t>43.09.06.0008</t>
        </is>
      </c>
      <c r="B81" s="79" t="inlineStr">
        <is>
          <t>Domino - Mof C - Powder Coated</t>
        </is>
      </c>
      <c r="C81" s="79" t="inlineStr">
        <is>
          <t>st</t>
        </is>
      </c>
      <c r="D81">
        <f>_xlfn.XLOOKUP(A81,Price!A:A,Price!C:C,0,0)</f>
        <v/>
      </c>
      <c r="E81">
        <f>_xlfn.XLOOKUP(A81,Montage!A:A,Montage!C:C,0,0)+IF(Calc!$D$18=1,_xlfn.XLOOKUP(A81,Montage!A:A,Montage!D:D,0,0),0)</f>
        <v/>
      </c>
    </row>
    <row r="82">
      <c r="A82" s="79" t="inlineStr">
        <is>
          <t>43.09.06.0005</t>
        </is>
      </c>
      <c r="B82" s="79" t="inlineStr">
        <is>
          <t>Domino - Mof D - Galvanized</t>
        </is>
      </c>
      <c r="C82" s="79" t="inlineStr">
        <is>
          <t>st</t>
        </is>
      </c>
      <c r="D82">
        <f>_xlfn.XLOOKUP(A82,Price!A:A,Price!C:C,0,0)</f>
        <v/>
      </c>
      <c r="E82">
        <f>_xlfn.XLOOKUP(A82,Montage!A:A,Montage!C:C,0,0)+IF(Calc!$D$18=1,_xlfn.XLOOKUP(A82,Montage!A:A,Montage!D:D,0,0),0)</f>
        <v/>
      </c>
    </row>
    <row r="83">
      <c r="A83" s="79" t="inlineStr">
        <is>
          <t>43.09.06.0010</t>
        </is>
      </c>
      <c r="B83" s="79" t="inlineStr">
        <is>
          <t>Domino - Mof D - Powder Coated</t>
        </is>
      </c>
      <c r="C83" s="79" t="inlineStr">
        <is>
          <t>st</t>
        </is>
      </c>
      <c r="D83">
        <f>_xlfn.XLOOKUP(A83,Price!A:A,Price!C:C,0,0)</f>
        <v/>
      </c>
      <c r="E83">
        <f>_xlfn.XLOOKUP(A83,Montage!A:A,Montage!C:C,0,0)+IF(Calc!$D$18=1,_xlfn.XLOOKUP(A83,Montage!A:A,Montage!D:D,0,0),0)</f>
        <v/>
      </c>
    </row>
    <row r="84">
      <c r="A84" s="79" t="inlineStr">
        <is>
          <t>43.09.06.0004</t>
        </is>
      </c>
      <c r="B84" s="79" t="inlineStr">
        <is>
          <t>Domino - Mof W - Galvanized</t>
        </is>
      </c>
      <c r="C84" s="79" t="inlineStr">
        <is>
          <t>st</t>
        </is>
      </c>
      <c r="D84">
        <f>_xlfn.XLOOKUP(A84,Price!A:A,Price!C:C,0,0)</f>
        <v/>
      </c>
      <c r="E84">
        <f>_xlfn.XLOOKUP(A84,Montage!A:A,Montage!C:C,0,0)+IF(Calc!$D$18=1,_xlfn.XLOOKUP(A84,Montage!A:A,Montage!D:D,0,0),0)</f>
        <v/>
      </c>
    </row>
    <row r="85">
      <c r="A85" s="79" t="inlineStr">
        <is>
          <t>43.09.06.0009</t>
        </is>
      </c>
      <c r="B85" s="79" t="inlineStr">
        <is>
          <t>Domino - Mof W - Powder Coated</t>
        </is>
      </c>
      <c r="C85" s="79" t="inlineStr">
        <is>
          <t>st</t>
        </is>
      </c>
      <c r="D85">
        <f>_xlfn.XLOOKUP(A85,Price!A:A,Price!C:C,0,0)</f>
        <v/>
      </c>
      <c r="E85">
        <f>_xlfn.XLOOKUP(A85,Montage!A:A,Montage!C:C,0,0)+IF(Calc!$D$18=1,_xlfn.XLOOKUP(A85,Montage!A:A,Montage!D:D,0,0),0)</f>
        <v/>
      </c>
    </row>
    <row r="86">
      <c r="A86" s="79" t="inlineStr">
        <is>
          <t>43.07.18.0013</t>
        </is>
      </c>
      <c r="B86" s="79" t="inlineStr">
        <is>
          <t>Domino - Strut - 50x2 - Galvanized</t>
        </is>
      </c>
      <c r="C86" s="79" t="inlineStr">
        <is>
          <t>st</t>
        </is>
      </c>
      <c r="D86">
        <f>_xlfn.XLOOKUP(A86,Price!A:A,Price!C:C,0,0)</f>
        <v/>
      </c>
      <c r="E86">
        <f>_xlfn.XLOOKUP(A86,Montage!A:A,Montage!C:C,0,0)+IF(Calc!$D$18=1,_xlfn.XLOOKUP(A86,Montage!A:A,Montage!D:D,0,0),0)</f>
        <v/>
      </c>
    </row>
    <row r="87">
      <c r="A87" s="79" t="inlineStr">
        <is>
          <t>43.07.18.0014</t>
        </is>
      </c>
      <c r="B87" s="79" t="inlineStr">
        <is>
          <t>Domino - Strut - 50x2 - Powder Coated</t>
        </is>
      </c>
      <c r="C87" s="79" t="inlineStr">
        <is>
          <t>st</t>
        </is>
      </c>
      <c r="D87">
        <f>_xlfn.XLOOKUP(A87,Price!A:A,Price!C:C,0,0)</f>
        <v/>
      </c>
      <c r="E87">
        <f>_xlfn.XLOOKUP(A87,Montage!A:A,Montage!C:C,0,0)+IF(Calc!$D$18=1,_xlfn.XLOOKUP(A87,Montage!A:A,Montage!D:D,0,0),0)</f>
        <v/>
      </c>
    </row>
    <row r="88">
      <c r="A88" s="79" t="inlineStr">
        <is>
          <t>37.60.06.0168</t>
        </is>
      </c>
      <c r="B88" s="79" t="inlineStr">
        <is>
          <t>Domino - U-Profile - 80x50x3 - L1890 - 3Ø13 - Galvanized</t>
        </is>
      </c>
      <c r="C88" s="79" t="inlineStr">
        <is>
          <t>st</t>
        </is>
      </c>
      <c r="D88">
        <f>_xlfn.XLOOKUP(A88,Price!A:A,Price!C:C,0,0)</f>
        <v/>
      </c>
      <c r="E88">
        <f>_xlfn.XLOOKUP(A88,Montage!A:A,Montage!C:C,0,0)+IF(Calc!$D$18=1,_xlfn.XLOOKUP(A88,Montage!A:A,Montage!D:D,0,0),0)</f>
        <v/>
      </c>
    </row>
    <row r="89">
      <c r="A89" s="79" t="inlineStr">
        <is>
          <t>43.17.06.0004</t>
        </is>
      </c>
      <c r="B89" s="79" t="inlineStr">
        <is>
          <t>Domino - U-Profile - 80x50x3 - L1890 - 3Ø13 - Powder Coated</t>
        </is>
      </c>
      <c r="C89" s="79" t="inlineStr">
        <is>
          <t>st</t>
        </is>
      </c>
      <c r="D89">
        <f>_xlfn.XLOOKUP(A89,Price!A:A,Price!C:C,0,0)</f>
        <v/>
      </c>
      <c r="E89">
        <f>_xlfn.XLOOKUP(A89,Montage!A:A,Montage!C:C,0,0)+IF(Calc!$D$18=1,_xlfn.XLOOKUP(A89,Montage!A:A,Montage!D:D,0,0),0)</f>
        <v/>
      </c>
    </row>
    <row r="90">
      <c r="A90" s="79" t="inlineStr">
        <is>
          <t>37.60.06.0169</t>
        </is>
      </c>
      <c r="B90" s="79" t="inlineStr">
        <is>
          <t>Domino - U-Profile - 80x50x3 - L2390 - 3Ø13 - Galvanized</t>
        </is>
      </c>
      <c r="C90" s="79" t="inlineStr">
        <is>
          <t>st</t>
        </is>
      </c>
      <c r="D90">
        <f>_xlfn.XLOOKUP(A90,Price!A:A,Price!C:C,0,0)</f>
        <v/>
      </c>
      <c r="E90">
        <f>_xlfn.XLOOKUP(A90,Montage!A:A,Montage!C:C,0,0)+IF(Calc!$D$18=1,_xlfn.XLOOKUP(A90,Montage!A:A,Montage!D:D,0,0),0)</f>
        <v/>
      </c>
    </row>
    <row r="91">
      <c r="A91" s="79" t="inlineStr">
        <is>
          <t>43.17.06.0005</t>
        </is>
      </c>
      <c r="B91" s="79" t="inlineStr">
        <is>
          <t>Domino - U-Profile - 80x50x3 - L2390 - 3Ø13 - Powder Coated</t>
        </is>
      </c>
      <c r="C91" s="79" t="inlineStr">
        <is>
          <t>st</t>
        </is>
      </c>
      <c r="D91">
        <f>_xlfn.XLOOKUP(A91,Price!A:A,Price!C:C,0,0)</f>
        <v/>
      </c>
      <c r="E91">
        <f>_xlfn.XLOOKUP(A91,Montage!A:A,Montage!C:C,0,0)+IF(Calc!$D$18=1,_xlfn.XLOOKUP(A91,Montage!A:A,Montage!D:D,0,0),0)</f>
        <v/>
      </c>
    </row>
    <row r="92">
      <c r="A92" s="79" t="inlineStr">
        <is>
          <t>37.60.06.0017</t>
        </is>
      </c>
      <c r="B92" s="79" t="inlineStr">
        <is>
          <t>Domino - U-Profile - 80x50x3 - L3920 - 4Ø13 - Galvanized</t>
        </is>
      </c>
      <c r="C92" s="79" t="inlineStr">
        <is>
          <t>st</t>
        </is>
      </c>
      <c r="D92">
        <f>_xlfn.XLOOKUP(A92,Price!A:A,Price!C:C,0,0)</f>
        <v/>
      </c>
      <c r="E92">
        <f>_xlfn.XLOOKUP(A92,Montage!A:A,Montage!C:C,0,0)+IF(Calc!$D$18=1,_xlfn.XLOOKUP(A92,Montage!A:A,Montage!D:D,0,0),0)</f>
        <v/>
      </c>
    </row>
    <row r="93">
      <c r="A93" s="79" t="inlineStr">
        <is>
          <t>43.17.06.0001</t>
        </is>
      </c>
      <c r="B93" s="79" t="inlineStr">
        <is>
          <t>Domino - U-Profile - 80x50x3 - L3920 - 4Ø13 - Powder Coated</t>
        </is>
      </c>
      <c r="C93" s="79" t="inlineStr">
        <is>
          <t>st</t>
        </is>
      </c>
      <c r="D93">
        <f>_xlfn.XLOOKUP(A93,Price!A:A,Price!C:C,0,0)</f>
        <v/>
      </c>
      <c r="E93">
        <f>_xlfn.XLOOKUP(A93,Montage!A:A,Montage!C:C,0,0)+IF(Calc!$D$18=1,_xlfn.XLOOKUP(A93,Montage!A:A,Montage!D:D,0,0),0)</f>
        <v/>
      </c>
    </row>
    <row r="94">
      <c r="A94" s="79" t="inlineStr">
        <is>
          <t>37.60.06.0018</t>
        </is>
      </c>
      <c r="B94" s="79" t="inlineStr">
        <is>
          <t>Domino - U-Profile - 80x50x3 - L4920 - 4Ø13 - Galvanized</t>
        </is>
      </c>
      <c r="C94" s="79" t="inlineStr">
        <is>
          <t>st</t>
        </is>
      </c>
      <c r="D94">
        <f>_xlfn.XLOOKUP(A94,Price!A:A,Price!C:C,0,0)</f>
        <v/>
      </c>
      <c r="E94">
        <f>_xlfn.XLOOKUP(A94,Montage!A:A,Montage!C:C,0,0)+IF(Calc!$D$18=1,_xlfn.XLOOKUP(A94,Montage!A:A,Montage!D:D,0,0),0)</f>
        <v/>
      </c>
    </row>
    <row r="95">
      <c r="A95" s="79" t="inlineStr">
        <is>
          <t>43.17.06.0002</t>
        </is>
      </c>
      <c r="B95" s="79" t="inlineStr">
        <is>
          <t>Domino - U-Profile - 80x50x3 - L4920 - 4Ø13 - Powder Coated</t>
        </is>
      </c>
      <c r="C95" s="79" t="inlineStr">
        <is>
          <t>st</t>
        </is>
      </c>
      <c r="D95">
        <f>_xlfn.XLOOKUP(A95,Price!A:A,Price!C:C,0,0)</f>
        <v/>
      </c>
      <c r="E95">
        <f>_xlfn.XLOOKUP(A95,Montage!A:A,Montage!C:C,0,0)+IF(Calc!$D$18=1,_xlfn.XLOOKUP(A95,Montage!A:A,Montage!D:D,0,0),0)</f>
        <v/>
      </c>
    </row>
    <row r="96">
      <c r="A96" s="79" t="inlineStr">
        <is>
          <t>37.60.06.0019</t>
        </is>
      </c>
      <c r="B96" s="79" t="inlineStr">
        <is>
          <t>Domino - U-Profile - 80x50x3 - L5950 - 4Ø13 - Galvanized</t>
        </is>
      </c>
      <c r="C96" s="79" t="inlineStr">
        <is>
          <t>st</t>
        </is>
      </c>
      <c r="D96">
        <f>_xlfn.XLOOKUP(A96,Price!A:A,Price!C:C,0,0)</f>
        <v/>
      </c>
      <c r="E96">
        <f>_xlfn.XLOOKUP(A96,Montage!A:A,Montage!C:C,0,0)+IF(Calc!$D$18=1,_xlfn.XLOOKUP(A96,Montage!A:A,Montage!D:D,0,0),0)</f>
        <v/>
      </c>
    </row>
    <row r="97">
      <c r="A97" s="79" t="inlineStr">
        <is>
          <t>43.17.06.0003</t>
        </is>
      </c>
      <c r="B97" s="79" t="inlineStr">
        <is>
          <t>Domino - U-Profile - 80x50x3 - L5950 - 4Ø13 - Powder Coated</t>
        </is>
      </c>
      <c r="C97" s="79" t="inlineStr">
        <is>
          <t>st</t>
        </is>
      </c>
      <c r="D97">
        <f>_xlfn.XLOOKUP(A97,Price!A:A,Price!C:C,0,0)</f>
        <v/>
      </c>
      <c r="E97">
        <f>_xlfn.XLOOKUP(A97,Montage!A:A,Montage!C:C,0,0)+IF(Calc!$D$18=1,_xlfn.XLOOKUP(A97,Montage!A:A,Montage!D:D,0,0),0)</f>
        <v/>
      </c>
    </row>
    <row r="98">
      <c r="A98" s="79" t="inlineStr">
        <is>
          <t>43.07.18.0001</t>
        </is>
      </c>
      <c r="B98" s="79" t="inlineStr">
        <is>
          <t>Domino - Wall Connector - Galvanized</t>
        </is>
      </c>
      <c r="C98" s="79" t="inlineStr">
        <is>
          <t>st</t>
        </is>
      </c>
      <c r="D98">
        <f>_xlfn.XLOOKUP(A98,Price!A:A,Price!C:C,0,0)</f>
        <v/>
      </c>
      <c r="E98">
        <f>_xlfn.XLOOKUP(A98,Montage!A:A,Montage!C:C,0,0)+IF(Calc!$D$18=1,_xlfn.XLOOKUP(A98,Montage!A:A,Montage!D:D,0,0),0)</f>
        <v/>
      </c>
    </row>
    <row r="99">
      <c r="A99" s="79" t="inlineStr">
        <is>
          <t>43.07.18.0004</t>
        </is>
      </c>
      <c r="B99" s="79" t="inlineStr">
        <is>
          <t>Domino - Wall Connector - Powder Coated</t>
        </is>
      </c>
      <c r="C99" s="79" t="inlineStr">
        <is>
          <t>st</t>
        </is>
      </c>
      <c r="D99">
        <f>_xlfn.XLOOKUP(A99,Price!A:A,Price!C:C,0,0)</f>
        <v/>
      </c>
      <c r="E99">
        <f>_xlfn.XLOOKUP(A99,Montage!A:A,Montage!C:C,0,0)+IF(Calc!$D$18=1,_xlfn.XLOOKUP(A99,Montage!A:A,Montage!D:D,0,0),0)</f>
        <v/>
      </c>
    </row>
    <row r="100">
      <c r="A100" s="79" t="inlineStr">
        <is>
          <t>43.06.14.0049</t>
        </is>
      </c>
      <c r="B100" s="79" t="inlineStr">
        <is>
          <t>Domino - Gate Column - 80x60x3 - L2260 - Galvanized</t>
        </is>
      </c>
      <c r="C100" s="79" t="inlineStr">
        <is>
          <t>st</t>
        </is>
      </c>
      <c r="D100">
        <f>_xlfn.XLOOKUP(A100,Price!A:A,Price!C:C,0,0)</f>
        <v/>
      </c>
      <c r="E100">
        <f>_xlfn.XLOOKUP(A100,Montage!A:A,Montage!C:C,0,0)+IF(Calc!$D$18=1,_xlfn.XLOOKUP(A100,Montage!A:A,Montage!D:D,0,0),0)</f>
        <v/>
      </c>
    </row>
    <row r="101">
      <c r="A101" s="79" t="inlineStr">
        <is>
          <t>43.06.14.0050</t>
        </is>
      </c>
      <c r="B101" s="79" t="inlineStr">
        <is>
          <t xml:space="preserve">Domino - Gate Column - 80x60x3 - L2910 - Galvanized </t>
        </is>
      </c>
      <c r="C101" s="79" t="inlineStr">
        <is>
          <t>st</t>
        </is>
      </c>
      <c r="D101">
        <f>_xlfn.XLOOKUP(A101,Price!A:A,Price!C:C,0,0)</f>
        <v/>
      </c>
      <c r="E101">
        <f>_xlfn.XLOOKUP(A101,Montage!A:A,Montage!C:C,0,0)+IF(Calc!$D$18=1,_xlfn.XLOOKUP(A101,Montage!A:A,Montage!D:D,0,0),0)</f>
        <v/>
      </c>
    </row>
    <row r="102">
      <c r="A102" s="79" t="inlineStr">
        <is>
          <t>43.06.14.0051</t>
        </is>
      </c>
      <c r="B102" s="79" t="inlineStr">
        <is>
          <t xml:space="preserve">Domino - Gate Column - 80x603 - L2260 - Powder Coated </t>
        </is>
      </c>
      <c r="C102" s="79" t="inlineStr">
        <is>
          <t>st</t>
        </is>
      </c>
      <c r="D102">
        <f>_xlfn.XLOOKUP(A102,Price!A:A,Price!C:C,0,0)</f>
        <v/>
      </c>
      <c r="E102">
        <f>_xlfn.XLOOKUP(A102,Montage!A:A,Montage!C:C,0,0)+IF(Calc!$D$18=1,_xlfn.XLOOKUP(A102,Montage!A:A,Montage!D:D,0,0),0)</f>
        <v/>
      </c>
    </row>
    <row r="103">
      <c r="A103" s="79" t="inlineStr">
        <is>
          <t>43.06.14.0052</t>
        </is>
      </c>
      <c r="B103" s="79" t="inlineStr">
        <is>
          <t xml:space="preserve">Domino - Gate Column - 80x603 - L2910 - Powder Coated </t>
        </is>
      </c>
      <c r="C103" s="79" t="inlineStr">
        <is>
          <t>st</t>
        </is>
      </c>
      <c r="D103">
        <f>_xlfn.XLOOKUP(A103,Price!A:A,Price!C:C,0,0)</f>
        <v/>
      </c>
      <c r="E103">
        <f>_xlfn.XLOOKUP(A103,Montage!A:A,Montage!C:C,0,0)+IF(Calc!$D$18=1,_xlfn.XLOOKUP(A103,Montage!A:A,Montage!D:D,0,0),0)</f>
        <v/>
      </c>
    </row>
    <row r="104">
      <c r="A104" s="79" t="inlineStr">
        <is>
          <t>43.32.03.0052</t>
        </is>
      </c>
      <c r="B104" s="79" t="inlineStr">
        <is>
          <t>Domino - Gate Frame - W930 - H2030 - Galvanized</t>
        </is>
      </c>
      <c r="C104" s="79" t="inlineStr">
        <is>
          <t>st</t>
        </is>
      </c>
      <c r="D104">
        <f>_xlfn.XLOOKUP(A104,Price!A:A,Price!C:C,0,0)</f>
        <v/>
      </c>
      <c r="E104">
        <f>_xlfn.XLOOKUP(A104,Montage!A:A,Montage!C:C,0,0)+IF(Calc!$D$18=1,_xlfn.XLOOKUP(A104,Montage!A:A,Montage!D:D,0,0),0)</f>
        <v/>
      </c>
    </row>
    <row r="105">
      <c r="A105" s="79" t="inlineStr">
        <is>
          <t>43.32.03.0053</t>
        </is>
      </c>
      <c r="B105" s="79" t="inlineStr">
        <is>
          <t>Domino - Gate Frame - W930 - H2680 - Galvanized</t>
        </is>
      </c>
      <c r="C105" s="79" t="inlineStr">
        <is>
          <t>st</t>
        </is>
      </c>
      <c r="D105">
        <f>_xlfn.XLOOKUP(A105,Price!A:A,Price!C:C,0,0)</f>
        <v/>
      </c>
      <c r="E105">
        <f>_xlfn.XLOOKUP(A105,Montage!A:A,Montage!C:C,0,0)+IF(Calc!$D$18=1,_xlfn.XLOOKUP(A105,Montage!A:A,Montage!D:D,0,0),0)</f>
        <v/>
      </c>
    </row>
    <row r="106">
      <c r="A106" s="79" t="inlineStr">
        <is>
          <t>43.32.03.0054</t>
        </is>
      </c>
      <c r="B106" s="79" t="inlineStr">
        <is>
          <t>Domino - Gate Frame - W1180 - H2030 - Galvanized</t>
        </is>
      </c>
      <c r="C106" s="79" t="inlineStr">
        <is>
          <t>st</t>
        </is>
      </c>
      <c r="D106">
        <f>_xlfn.XLOOKUP(A106,Price!A:A,Price!C:C,0,0)</f>
        <v/>
      </c>
      <c r="E106">
        <f>_xlfn.XLOOKUP(A106,Montage!A:A,Montage!C:C,0,0)+IF(Calc!$D$18=1,_xlfn.XLOOKUP(A106,Montage!A:A,Montage!D:D,0,0),0)</f>
        <v/>
      </c>
    </row>
    <row r="107">
      <c r="A107" s="79" t="inlineStr">
        <is>
          <t>43.32.03.0055</t>
        </is>
      </c>
      <c r="B107" s="79" t="inlineStr">
        <is>
          <t>Domino - Gate Frame - W1180 - H2680 - Galvanized</t>
        </is>
      </c>
      <c r="C107" s="79" t="inlineStr">
        <is>
          <t>st</t>
        </is>
      </c>
      <c r="D107">
        <f>_xlfn.XLOOKUP(A107,Price!A:A,Price!C:C,0,0)</f>
        <v/>
      </c>
      <c r="E107">
        <f>_xlfn.XLOOKUP(A107,Montage!A:A,Montage!C:C,0,0)+IF(Calc!$D$18=1,_xlfn.XLOOKUP(A107,Montage!A:A,Montage!D:D,0,0),0)</f>
        <v/>
      </c>
    </row>
    <row r="108">
      <c r="A108" s="79" t="inlineStr">
        <is>
          <t>43.32.03.0056</t>
        </is>
      </c>
      <c r="B108" s="79" t="inlineStr">
        <is>
          <t>Domino - Gate Frame - W930 - H2030 - Powder Coated</t>
        </is>
      </c>
      <c r="C108" s="79" t="inlineStr">
        <is>
          <t>st</t>
        </is>
      </c>
      <c r="D108">
        <f>_xlfn.XLOOKUP(A108,Price!A:A,Price!C:C,0,0)</f>
        <v/>
      </c>
      <c r="E108">
        <f>_xlfn.XLOOKUP(A108,Montage!A:A,Montage!C:C,0,0)+IF(Calc!$D$18=1,_xlfn.XLOOKUP(A108,Montage!A:A,Montage!D:D,0,0),0)</f>
        <v/>
      </c>
    </row>
    <row r="109">
      <c r="A109" s="79" t="inlineStr">
        <is>
          <t>43.32.03.0057</t>
        </is>
      </c>
      <c r="B109" s="79" t="inlineStr">
        <is>
          <t>Domino - Gate Frame - W930 - H2680 - Powder Coated</t>
        </is>
      </c>
      <c r="C109" s="79" t="inlineStr">
        <is>
          <t>st</t>
        </is>
      </c>
      <c r="D109">
        <f>_xlfn.XLOOKUP(A109,Price!A:A,Price!C:C,0,0)</f>
        <v/>
      </c>
      <c r="E109">
        <f>_xlfn.XLOOKUP(A109,Montage!A:A,Montage!C:C,0,0)+IF(Calc!$D$18=1,_xlfn.XLOOKUP(A109,Montage!A:A,Montage!D:D,0,0),0)</f>
        <v/>
      </c>
    </row>
    <row r="110">
      <c r="A110" s="79" t="inlineStr">
        <is>
          <t>43.32.03.0058</t>
        </is>
      </c>
      <c r="B110" s="79" t="inlineStr">
        <is>
          <t>Domino - Gate Frame - W1180 - H2030 - Powder Coated</t>
        </is>
      </c>
      <c r="C110" s="79" t="inlineStr">
        <is>
          <t>st</t>
        </is>
      </c>
      <c r="D110">
        <f>_xlfn.XLOOKUP(A110,Price!A:A,Price!C:C,0,0)</f>
        <v/>
      </c>
      <c r="E110">
        <f>_xlfn.XLOOKUP(A110,Montage!A:A,Montage!C:C,0,0)+IF(Calc!$D$18=1,_xlfn.XLOOKUP(A110,Montage!A:A,Montage!D:D,0,0),0)</f>
        <v/>
      </c>
    </row>
    <row r="111">
      <c r="A111" s="79" t="inlineStr">
        <is>
          <t>43.32.03.0059</t>
        </is>
      </c>
      <c r="B111" s="79" t="inlineStr">
        <is>
          <t>Domino - Gate Frame - W1180 - H2680 - Powder Coated</t>
        </is>
      </c>
      <c r="C111" s="79" t="inlineStr">
        <is>
          <t>st</t>
        </is>
      </c>
      <c r="D111">
        <f>_xlfn.XLOOKUP(A111,Price!A:A,Price!C:C,0,0)</f>
        <v/>
      </c>
      <c r="E111">
        <f>_xlfn.XLOOKUP(A111,Montage!A:A,Montage!C:C,0,0)+IF(Calc!$D$18=1,_xlfn.XLOOKUP(A111,Montage!A:A,Montage!D:D,0,0),0)</f>
        <v/>
      </c>
    </row>
    <row r="112">
      <c r="A112" s="79" t="inlineStr">
        <is>
          <t>43.32.03.0048</t>
        </is>
      </c>
      <c r="B112" s="79" t="inlineStr">
        <is>
          <t xml:space="preserve">Domino - Hinge Bracket - Galvanized  </t>
        </is>
      </c>
      <c r="C112" s="79" t="inlineStr">
        <is>
          <t>st</t>
        </is>
      </c>
      <c r="D112">
        <f>_xlfn.XLOOKUP(A112,Price!A:A,Price!C:C,0,0)</f>
        <v/>
      </c>
      <c r="E112">
        <f>_xlfn.XLOOKUP(A112,Montage!A:A,Montage!C:C,0,0)+IF(Calc!$D$18=1,_xlfn.XLOOKUP(A112,Montage!A:A,Montage!D:D,0,0),0)</f>
        <v/>
      </c>
    </row>
    <row r="113">
      <c r="A113" s="79" t="inlineStr">
        <is>
          <t>43.32.03.0049</t>
        </is>
      </c>
      <c r="B113" s="79" t="inlineStr">
        <is>
          <t xml:space="preserve">Domino - Hinge Bracket - Powder coated </t>
        </is>
      </c>
      <c r="C113" s="79" t="inlineStr">
        <is>
          <t>st</t>
        </is>
      </c>
      <c r="D113">
        <f>_xlfn.XLOOKUP(A113,Price!A:A,Price!C:C,0,0)</f>
        <v/>
      </c>
      <c r="E113">
        <f>_xlfn.XLOOKUP(A113,Montage!A:A,Montage!C:C,0,0)+IF(Calc!$D$18=1,_xlfn.XLOOKUP(A113,Montage!A:A,Montage!D:D,0,0),0)</f>
        <v/>
      </c>
    </row>
    <row r="114">
      <c r="A114" s="79" t="inlineStr">
        <is>
          <t>43.32.03.0050</t>
        </is>
      </c>
      <c r="B114" s="79" t="inlineStr">
        <is>
          <t xml:space="preserve">Domino - Hinge L-Profile - Galvanized </t>
        </is>
      </c>
      <c r="C114" s="79" t="inlineStr">
        <is>
          <t>st</t>
        </is>
      </c>
      <c r="D114">
        <f>_xlfn.XLOOKUP(A114,Price!A:A,Price!C:C,0,0)</f>
        <v/>
      </c>
      <c r="E114">
        <f>_xlfn.XLOOKUP(A114,Montage!A:A,Montage!C:C,0,0)+IF(Calc!$D$18=1,_xlfn.XLOOKUP(A114,Montage!A:A,Montage!D:D,0,0),0)</f>
        <v/>
      </c>
    </row>
    <row r="115">
      <c r="A115" s="79" t="inlineStr">
        <is>
          <t>43.32.03.0051</t>
        </is>
      </c>
      <c r="B115" s="79" t="inlineStr">
        <is>
          <t>Domino - Hinge L-Profile - Powder coated</t>
        </is>
      </c>
      <c r="C115" s="79" t="inlineStr">
        <is>
          <t>st</t>
        </is>
      </c>
      <c r="D115">
        <f>_xlfn.XLOOKUP(A115,Price!A:A,Price!C:C,0,0)</f>
        <v/>
      </c>
      <c r="E115">
        <f>_xlfn.XLOOKUP(A115,Montage!A:A,Montage!C:C,0,0)+IF(Calc!$D$18=1,_xlfn.XLOOKUP(A115,Montage!A:A,Montage!D:D,0,0),0)</f>
        <v/>
      </c>
    </row>
    <row r="116">
      <c r="A116" s="79" t="inlineStr">
        <is>
          <t>40.01.01.0014</t>
        </is>
      </c>
      <c r="B116" s="79" t="inlineStr">
        <is>
          <t>Wooden panel - Type A1 - Thermowood - WxH=950x2150mm</t>
        </is>
      </c>
      <c r="C116" s="79" t="inlineStr">
        <is>
          <t>st</t>
        </is>
      </c>
      <c r="D116">
        <f>_xlfn.XLOOKUP(A116,Price!A:A,Price!C:C,0,0)</f>
        <v/>
      </c>
      <c r="E116">
        <f>_xlfn.XLOOKUP(A116,Montage!A:A,Montage!C:C,0,0)+IF(Calc!$D$18=1,_xlfn.XLOOKUP(A116,Montage!A:A,Montage!D:D,0,0),0)</f>
        <v/>
      </c>
    </row>
    <row r="117">
      <c r="A117" s="79" t="inlineStr">
        <is>
          <t>40.01.01.0015</t>
        </is>
      </c>
      <c r="B117" s="79" t="inlineStr">
        <is>
          <t>Wooden panel - Type A2 - Thermowood - WxH=950x2800mm</t>
        </is>
      </c>
      <c r="C117" s="79" t="inlineStr">
        <is>
          <t>st</t>
        </is>
      </c>
      <c r="D117">
        <f>_xlfn.XLOOKUP(A117,Price!A:A,Price!C:C,0,0)</f>
        <v/>
      </c>
      <c r="E117">
        <f>_xlfn.XLOOKUP(A117,Montage!A:A,Montage!C:C,0,0)+IF(Calc!$D$18=1,_xlfn.XLOOKUP(A117,Montage!A:A,Montage!D:D,0,0),0)</f>
        <v/>
      </c>
    </row>
    <row r="118">
      <c r="A118" s="79" t="inlineStr">
        <is>
          <t>40.01.01.0016</t>
        </is>
      </c>
      <c r="B118" s="79" t="inlineStr">
        <is>
          <t>Wooden panel - Type B1 - Thermowood - WxH=1195x2150mm</t>
        </is>
      </c>
      <c r="C118" s="79" t="inlineStr">
        <is>
          <t>st</t>
        </is>
      </c>
      <c r="D118">
        <f>_xlfn.XLOOKUP(A118,Price!A:A,Price!C:C,0,0)</f>
        <v/>
      </c>
      <c r="E118">
        <f>_xlfn.XLOOKUP(A118,Montage!A:A,Montage!C:C,0,0)+IF(Calc!$D$18=1,_xlfn.XLOOKUP(A118,Montage!A:A,Montage!D:D,0,0),0)</f>
        <v/>
      </c>
    </row>
    <row r="119">
      <c r="A119" s="79" t="inlineStr">
        <is>
          <t>40.01.01.0017</t>
        </is>
      </c>
      <c r="B119" s="79" t="inlineStr">
        <is>
          <t>Wooden panel - Type B2 - Thermowood - WxH=1195x2800mm</t>
        </is>
      </c>
      <c r="C119" s="79" t="inlineStr">
        <is>
          <t>st</t>
        </is>
      </c>
      <c r="D119">
        <f>_xlfn.XLOOKUP(A119,Price!A:A,Price!C:C,0,0)</f>
        <v/>
      </c>
      <c r="E119">
        <f>_xlfn.XLOOKUP(A119,Montage!A:A,Montage!C:C,0,0)+IF(Calc!$D$18=1,_xlfn.XLOOKUP(A119,Montage!A:A,Montage!D:D,0,0),0)</f>
        <v/>
      </c>
    </row>
    <row r="120">
      <c r="A120" s="79" t="inlineStr">
        <is>
          <t>09.01.06.0012</t>
        </is>
      </c>
      <c r="B120" s="80" t="inlineStr">
        <is>
          <t>Thermowood - 90x20x2150mm - 4-sided planed - rounded edges</t>
        </is>
      </c>
      <c r="C120" s="79" t="inlineStr">
        <is>
          <t>st</t>
        </is>
      </c>
      <c r="D120">
        <f>_xlfn.XLOOKUP(A120,Price!A:A,Price!C:C,0,0)</f>
        <v/>
      </c>
      <c r="E120">
        <f>_xlfn.XLOOKUP(A120,Montage!A:A,Montage!C:C,0,0)+IF(Calc!$D$18=1,_xlfn.XLOOKUP(A120,Montage!A:A,Montage!D:D,0,0),0)</f>
        <v/>
      </c>
    </row>
    <row r="121">
      <c r="A121" s="79" t="inlineStr">
        <is>
          <t>09.01.06.0013</t>
        </is>
      </c>
      <c r="B121" s="80" t="inlineStr">
        <is>
          <t>Thermowood - 90x20x2800mm - 4-sided planed - rounded edges</t>
        </is>
      </c>
      <c r="C121" s="79" t="inlineStr">
        <is>
          <t>st</t>
        </is>
      </c>
      <c r="D121">
        <f>_xlfn.XLOOKUP(A121,Price!A:A,Price!C:C,0,0)</f>
        <v/>
      </c>
      <c r="E121">
        <f>_xlfn.XLOOKUP(A121,Montage!A:A,Montage!C:C,0,0)+IF(Calc!$D$18=1,_xlfn.XLOOKUP(A121,Montage!A:A,Montage!D:D,0,0),0)</f>
        <v/>
      </c>
    </row>
    <row r="122">
      <c r="A122" s="79" t="inlineStr">
        <is>
          <t>09.01.06.0016</t>
        </is>
      </c>
      <c r="B122" s="80" t="inlineStr">
        <is>
          <t>Thermowood - 44x20x2150mm - 4-sided planed - rounded edges</t>
        </is>
      </c>
      <c r="C122" s="79" t="inlineStr">
        <is>
          <t>st</t>
        </is>
      </c>
      <c r="D122">
        <f>_xlfn.XLOOKUP(A122,Price!A:A,Price!C:C,0,0)</f>
        <v/>
      </c>
      <c r="E122">
        <f>_xlfn.XLOOKUP(A122,Montage!A:A,Montage!C:C,0,0)+IF(Calc!$D$18=1,_xlfn.XLOOKUP(A122,Montage!A:A,Montage!D:D,0,0),0)</f>
        <v/>
      </c>
    </row>
    <row r="123">
      <c r="A123" s="79" t="inlineStr">
        <is>
          <t>09.01.06.0017</t>
        </is>
      </c>
      <c r="B123" s="80" t="inlineStr">
        <is>
          <t>Thermowood - 44x20x2800mm - 4-sided planed - rounded edges</t>
        </is>
      </c>
      <c r="C123" s="79" t="inlineStr">
        <is>
          <t>st</t>
        </is>
      </c>
      <c r="D123">
        <f>_xlfn.XLOOKUP(A123,Price!A:A,Price!C:C,0,0)</f>
        <v/>
      </c>
      <c r="E123">
        <f>_xlfn.XLOOKUP(A123,Montage!A:A,Montage!C:C,0,0)+IF(Calc!$D$18=1,_xlfn.XLOOKUP(A123,Montage!A:A,Montage!D:D,0,0),0)</f>
        <v/>
      </c>
    </row>
    <row r="124">
      <c r="A124" s="79" t="inlineStr">
        <is>
          <t>09.01.06.0014</t>
        </is>
      </c>
      <c r="B124" s="80" t="inlineStr">
        <is>
          <t>Thermowood - 44x22x950mm - 4-sided planed</t>
        </is>
      </c>
      <c r="C124" s="79" t="inlineStr">
        <is>
          <t>st</t>
        </is>
      </c>
      <c r="D124">
        <f>_xlfn.XLOOKUP(A124,Price!A:A,Price!C:C,0,0)</f>
        <v/>
      </c>
      <c r="E124">
        <f>_xlfn.XLOOKUP(A124,Montage!A:A,Montage!C:C,0,0)+IF(Calc!$D$18=1,_xlfn.XLOOKUP(A124,Montage!A:A,Montage!D:D,0,0),0)</f>
        <v/>
      </c>
    </row>
    <row r="125">
      <c r="A125" s="79" t="inlineStr">
        <is>
          <t>09.01.06.0015</t>
        </is>
      </c>
      <c r="B125" s="80" t="inlineStr">
        <is>
          <t>Thermowood - 44x22x1195mm - 4-sided planed</t>
        </is>
      </c>
      <c r="C125" s="79" t="inlineStr">
        <is>
          <t>st</t>
        </is>
      </c>
      <c r="D125">
        <f>_xlfn.XLOOKUP(A125,Price!A:A,Price!C:C,0,0)</f>
        <v/>
      </c>
      <c r="E125">
        <f>_xlfn.XLOOKUP(A125,Montage!A:A,Montage!C:C,0,0)+IF(Calc!$D$18=1,_xlfn.XLOOKUP(A125,Montage!A:A,Montage!D:D,0,0),0)</f>
        <v/>
      </c>
    </row>
    <row r="126">
      <c r="A126" s="79" t="inlineStr">
        <is>
          <t>20.01.11.0012</t>
        </is>
      </c>
      <c r="B126" s="80" t="inlineStr">
        <is>
          <t>Mesh Panel - 2D - 6/5/6 - W2000H2030 - RAL6005 - Cut</t>
        </is>
      </c>
      <c r="C126" s="79" t="inlineStr">
        <is>
          <t>st</t>
        </is>
      </c>
      <c r="D126">
        <f>_xlfn.XLOOKUP(A126,Price!A:A,Price!C:C,0,0)</f>
        <v/>
      </c>
      <c r="E126">
        <f>_xlfn.XLOOKUP(A126,Montage!A:A,Montage!C:C,0,0)+IF(Calc!$D$18=1,_xlfn.XLOOKUP(A126,Montage!A:A,Montage!D:D,0,0),0)</f>
        <v/>
      </c>
    </row>
    <row r="127">
      <c r="A127" s="79" t="inlineStr">
        <is>
          <t>20.01.11.0013</t>
        </is>
      </c>
      <c r="B127" s="80" t="inlineStr">
        <is>
          <t>Mesh Panel - 2D - 6/5/6 - W2000H2030 - RAL7016 - Cut</t>
        </is>
      </c>
      <c r="C127" s="79" t="inlineStr">
        <is>
          <t>st</t>
        </is>
      </c>
      <c r="D127">
        <f>_xlfn.XLOOKUP(A127,Price!A:A,Price!C:C,0,0)</f>
        <v/>
      </c>
      <c r="E127">
        <f>_xlfn.XLOOKUP(A127,Montage!A:A,Montage!C:C,0,0)+IF(Calc!$D$18=1,_xlfn.XLOOKUP(A127,Montage!A:A,Montage!D:D,0,0),0)</f>
        <v/>
      </c>
    </row>
    <row r="128">
      <c r="A128" s="79" t="inlineStr">
        <is>
          <t>20.01.11.0014</t>
        </is>
      </c>
      <c r="B128" s="80" t="inlineStr">
        <is>
          <t>Mesh Panel - 2D - 6/5/6 - W2000H2030 - RAL9005 - Cut</t>
        </is>
      </c>
      <c r="C128" s="79" t="inlineStr">
        <is>
          <t>st</t>
        </is>
      </c>
      <c r="D128">
        <f>_xlfn.XLOOKUP(A128,Price!A:A,Price!C:C,0,0)</f>
        <v/>
      </c>
      <c r="E128">
        <f>_xlfn.XLOOKUP(A128,Montage!A:A,Montage!C:C,0,0)+IF(Calc!$D$18=1,_xlfn.XLOOKUP(A128,Montage!A:A,Montage!D:D,0,0),0)</f>
        <v/>
      </c>
    </row>
    <row r="129">
      <c r="A129" s="79" t="inlineStr">
        <is>
          <t>20.01.11.0015</t>
        </is>
      </c>
      <c r="B129" s="80" t="inlineStr">
        <is>
          <t>Mesh Panel - 2D - 6/5/6 - W2000H2030 - Galvanized - Cut</t>
        </is>
      </c>
      <c r="C129" s="79" t="inlineStr">
        <is>
          <t>st</t>
        </is>
      </c>
      <c r="D129">
        <f>_xlfn.XLOOKUP(A129,Price!A:A,Price!C:C,0,0)</f>
        <v/>
      </c>
      <c r="E129">
        <f>_xlfn.XLOOKUP(A129,Montage!A:A,Montage!C:C,0,0)+IF(Calc!$D$18=1,_xlfn.XLOOKUP(A129,Montage!A:A,Montage!D:D,0,0),0)</f>
        <v/>
      </c>
    </row>
    <row r="130">
      <c r="A130" s="79" t="inlineStr">
        <is>
          <t>20.01.11.0016</t>
        </is>
      </c>
      <c r="B130" s="80" t="inlineStr">
        <is>
          <t>Mesh Panel - 2D - 6/5/6 - W2000H630 - RAL6005 - Cut</t>
        </is>
      </c>
      <c r="C130" s="79" t="inlineStr">
        <is>
          <t>st</t>
        </is>
      </c>
      <c r="D130">
        <f>_xlfn.XLOOKUP(A130,Price!A:A,Price!C:C,0,0)</f>
        <v/>
      </c>
      <c r="E130">
        <f>_xlfn.XLOOKUP(A130,Montage!A:A,Montage!C:C,0,0)+IF(Calc!$D$18=1,_xlfn.XLOOKUP(A130,Montage!A:A,Montage!D:D,0,0),0)</f>
        <v/>
      </c>
    </row>
    <row r="131">
      <c r="A131" s="79" t="inlineStr">
        <is>
          <t>20.01.11.0017</t>
        </is>
      </c>
      <c r="B131" s="80" t="inlineStr">
        <is>
          <t>Mesh Panel - 2D - 6/5/6 - W2000H630 - RAL7016 - Cut</t>
        </is>
      </c>
      <c r="C131" s="79" t="inlineStr">
        <is>
          <t>st</t>
        </is>
      </c>
      <c r="D131">
        <f>_xlfn.XLOOKUP(A131,Price!A:A,Price!C:C,0,0)</f>
        <v/>
      </c>
      <c r="E131">
        <f>_xlfn.XLOOKUP(A131,Montage!A:A,Montage!C:C,0,0)+IF(Calc!$D$18=1,_xlfn.XLOOKUP(A131,Montage!A:A,Montage!D:D,0,0),0)</f>
        <v/>
      </c>
    </row>
    <row r="132">
      <c r="A132" s="79" t="inlineStr">
        <is>
          <t>20.01.11.0018</t>
        </is>
      </c>
      <c r="B132" s="80" t="inlineStr">
        <is>
          <t>Mesh Panel - 2D - 6/5/6 - W2000H630 - RAL9005 - Cut</t>
        </is>
      </c>
      <c r="C132" s="79" t="inlineStr">
        <is>
          <t>st</t>
        </is>
      </c>
      <c r="D132">
        <f>_xlfn.XLOOKUP(A132,Price!A:A,Price!C:C,0,0)</f>
        <v/>
      </c>
      <c r="E132">
        <f>_xlfn.XLOOKUP(A132,Montage!A:A,Montage!C:C,0,0)+IF(Calc!$D$18=1,_xlfn.XLOOKUP(A132,Montage!A:A,Montage!D:D,0,0),0)</f>
        <v/>
      </c>
    </row>
    <row r="133">
      <c r="A133" s="79" t="inlineStr">
        <is>
          <t>20.01.11.0019</t>
        </is>
      </c>
      <c r="B133" s="80" t="inlineStr">
        <is>
          <t>Mesh Panel - 2D - 6/5/6 - W2000H630 - Galvanized - Cut</t>
        </is>
      </c>
      <c r="C133" s="79" t="inlineStr">
        <is>
          <t>st</t>
        </is>
      </c>
      <c r="D133">
        <f>_xlfn.XLOOKUP(A133,Price!A:A,Price!C:C,0,0)</f>
        <v/>
      </c>
      <c r="E133">
        <f>_xlfn.XLOOKUP(A133,Montage!A:A,Montage!C:C,0,0)+IF(Calc!$D$18=1,_xlfn.XLOOKUP(A133,Montage!A:A,Montage!D:D,0,0),0)</f>
        <v/>
      </c>
    </row>
    <row r="134">
      <c r="A134" s="79" t="inlineStr">
        <is>
          <t>20.01.11.0020</t>
        </is>
      </c>
      <c r="B134" s="80" t="inlineStr">
        <is>
          <t>Mesh Panel - 2D - 6/5/6 - W1150H2030 - RAL6005 - Cut</t>
        </is>
      </c>
      <c r="C134" s="79" t="inlineStr">
        <is>
          <t>st</t>
        </is>
      </c>
      <c r="D134">
        <f>_xlfn.XLOOKUP(A134,Price!A:A,Price!C:C,0,0)</f>
        <v/>
      </c>
      <c r="E134">
        <f>_xlfn.XLOOKUP(A134,Montage!A:A,Montage!C:C,0,0)+IF(Calc!$D$18=1,_xlfn.XLOOKUP(A134,Montage!A:A,Montage!D:D,0,0),0)</f>
        <v/>
      </c>
    </row>
    <row r="135">
      <c r="A135" s="79" t="inlineStr">
        <is>
          <t>20.01.11.0021</t>
        </is>
      </c>
      <c r="B135" s="80" t="inlineStr">
        <is>
          <t>Mesh Panel - 2D - 6/5/6 - W1150H2030 - RAL7016 - Cut</t>
        </is>
      </c>
      <c r="C135" s="79" t="inlineStr">
        <is>
          <t>st</t>
        </is>
      </c>
      <c r="D135">
        <f>_xlfn.XLOOKUP(A135,Price!A:A,Price!C:C,0,0)</f>
        <v/>
      </c>
      <c r="E135">
        <f>_xlfn.XLOOKUP(A135,Montage!A:A,Montage!C:C,0,0)+IF(Calc!$D$18=1,_xlfn.XLOOKUP(A135,Montage!A:A,Montage!D:D,0,0),0)</f>
        <v/>
      </c>
    </row>
    <row r="136">
      <c r="A136" s="79" t="inlineStr">
        <is>
          <t>20.01.11.0022</t>
        </is>
      </c>
      <c r="B136" s="80" t="inlineStr">
        <is>
          <t>Mesh Panel - 2D - 6/5/6 - W1150H2030 - RAL9005 - Cut</t>
        </is>
      </c>
      <c r="C136" s="79" t="inlineStr">
        <is>
          <t>st</t>
        </is>
      </c>
      <c r="D136">
        <f>_xlfn.XLOOKUP(A136,Price!A:A,Price!C:C,0,0)</f>
        <v/>
      </c>
      <c r="E136">
        <f>_xlfn.XLOOKUP(A136,Montage!A:A,Montage!C:C,0,0)+IF(Calc!$D$18=1,_xlfn.XLOOKUP(A136,Montage!A:A,Montage!D:D,0,0),0)</f>
        <v/>
      </c>
    </row>
    <row r="137">
      <c r="A137" s="79" t="inlineStr">
        <is>
          <t>20.01.11.0023</t>
        </is>
      </c>
      <c r="B137" s="80" t="inlineStr">
        <is>
          <t>Mesh Panel - 2D - 6/5/6 - W1150H2030 - Galvanized - Cut</t>
        </is>
      </c>
      <c r="C137" s="79" t="inlineStr">
        <is>
          <t>st</t>
        </is>
      </c>
      <c r="D137">
        <f>_xlfn.XLOOKUP(A137,Price!A:A,Price!C:C,0,0)</f>
        <v/>
      </c>
      <c r="E137">
        <f>_xlfn.XLOOKUP(A137,Montage!A:A,Montage!C:C,0,0)+IF(Calc!$D$18=1,_xlfn.XLOOKUP(A137,Montage!A:A,Montage!D:D,0,0),0)</f>
        <v/>
      </c>
    </row>
    <row r="138">
      <c r="A138" s="79" t="inlineStr">
        <is>
          <t>20.01.11.0024</t>
        </is>
      </c>
      <c r="B138" s="80" t="inlineStr">
        <is>
          <t>Mesh Panel - 2D - 6/5/6 - W1150H630 - RAL6005 - Cut</t>
        </is>
      </c>
      <c r="C138" s="79" t="inlineStr">
        <is>
          <t>st</t>
        </is>
      </c>
      <c r="D138">
        <f>_xlfn.XLOOKUP(A138,Price!A:A,Price!C:C,0,0)</f>
        <v/>
      </c>
      <c r="E138">
        <f>_xlfn.XLOOKUP(A138,Montage!A:A,Montage!C:C,0,0)+IF(Calc!$D$18=1,_xlfn.XLOOKUP(A138,Montage!A:A,Montage!D:D,0,0),0)</f>
        <v/>
      </c>
    </row>
    <row r="139">
      <c r="A139" s="79" t="inlineStr">
        <is>
          <t>20.01.11.0025</t>
        </is>
      </c>
      <c r="B139" s="80" t="inlineStr">
        <is>
          <t>Mesh Panel - 2D - 6/5/6 - W1150H630 - RAL7016 - Cut</t>
        </is>
      </c>
      <c r="C139" s="79" t="inlineStr">
        <is>
          <t>st</t>
        </is>
      </c>
      <c r="D139">
        <f>_xlfn.XLOOKUP(A139,Price!A:A,Price!C:C,0,0)</f>
        <v/>
      </c>
      <c r="E139">
        <f>_xlfn.XLOOKUP(A139,Montage!A:A,Montage!C:C,0,0)+IF(Calc!$D$18=1,_xlfn.XLOOKUP(A139,Montage!A:A,Montage!D:D,0,0),0)</f>
        <v/>
      </c>
    </row>
    <row r="140">
      <c r="A140" s="79" t="inlineStr">
        <is>
          <t>20.01.11.0026</t>
        </is>
      </c>
      <c r="B140" s="80" t="inlineStr">
        <is>
          <t>Mesh Panel - 2D - 6/5/6 - W1150H630 - RAL9005 - Cut</t>
        </is>
      </c>
      <c r="C140" s="79" t="inlineStr">
        <is>
          <t>st</t>
        </is>
      </c>
      <c r="D140">
        <f>_xlfn.XLOOKUP(A140,Price!A:A,Price!C:C,0,0)</f>
        <v/>
      </c>
      <c r="E140">
        <f>_xlfn.XLOOKUP(A140,Montage!A:A,Montage!C:C,0,0)+IF(Calc!$D$18=1,_xlfn.XLOOKUP(A140,Montage!A:A,Montage!D:D,0,0),0)</f>
        <v/>
      </c>
    </row>
    <row r="141">
      <c r="A141" s="79" t="inlineStr">
        <is>
          <t>20.01.11.0027</t>
        </is>
      </c>
      <c r="B141" s="80" t="inlineStr">
        <is>
          <t>Mesh Panel - 2D - 6/5/6 - W1150H630 - Galvanized - Cut</t>
        </is>
      </c>
      <c r="C141" s="79" t="inlineStr">
        <is>
          <t>st</t>
        </is>
      </c>
      <c r="D141">
        <f>_xlfn.XLOOKUP(A141,Price!A:A,Price!C:C,0,0)</f>
        <v/>
      </c>
      <c r="E141">
        <f>_xlfn.XLOOKUP(A141,Montage!A:A,Montage!C:C,0,0)+IF(Calc!$D$18=1,_xlfn.XLOOKUP(A141,Montage!A:A,Montage!D:D,0,0),0)</f>
        <v/>
      </c>
    </row>
    <row r="142">
      <c r="A142" s="79" t="inlineStr">
        <is>
          <t>20.01.11.0028</t>
        </is>
      </c>
      <c r="B142" s="80" t="inlineStr">
        <is>
          <t>Mesh Panel - 2D - 6/5/6 - W900H2030 - RAL6005 - Cut</t>
        </is>
      </c>
      <c r="C142" s="79" t="inlineStr">
        <is>
          <t>st</t>
        </is>
      </c>
      <c r="D142">
        <f>_xlfn.XLOOKUP(A142,Price!A:A,Price!C:C,0,0)</f>
        <v/>
      </c>
      <c r="E142">
        <f>_xlfn.XLOOKUP(A142,Montage!A:A,Montage!C:C,0,0)+IF(Calc!$D$18=1,_xlfn.XLOOKUP(A142,Montage!A:A,Montage!D:D,0,0),0)</f>
        <v/>
      </c>
    </row>
    <row r="143">
      <c r="A143" s="79" t="inlineStr">
        <is>
          <t>20.01.11.0029</t>
        </is>
      </c>
      <c r="B143" s="80" t="inlineStr">
        <is>
          <t>Mesh Panel - 2D - 6/5/6 - W900H2030 - RAL7016 - Cut</t>
        </is>
      </c>
      <c r="C143" s="79" t="inlineStr">
        <is>
          <t>st</t>
        </is>
      </c>
      <c r="D143">
        <f>_xlfn.XLOOKUP(A143,Price!A:A,Price!C:C,0,0)</f>
        <v/>
      </c>
      <c r="E143">
        <f>_xlfn.XLOOKUP(A143,Montage!A:A,Montage!C:C,0,0)+IF(Calc!$D$18=1,_xlfn.XLOOKUP(A143,Montage!A:A,Montage!D:D,0,0),0)</f>
        <v/>
      </c>
    </row>
    <row r="144">
      <c r="A144" s="79" t="inlineStr">
        <is>
          <t>20.01.11.0030</t>
        </is>
      </c>
      <c r="B144" s="80" t="inlineStr">
        <is>
          <t>Mesh Panel - 2D - 6/5/6 - W900H2030 - RAL9005 - Cut</t>
        </is>
      </c>
      <c r="C144" s="79" t="inlineStr">
        <is>
          <t>st</t>
        </is>
      </c>
      <c r="D144">
        <f>_xlfn.XLOOKUP(A144,Price!A:A,Price!C:C,0,0)</f>
        <v/>
      </c>
      <c r="E144">
        <f>_xlfn.XLOOKUP(A144,Montage!A:A,Montage!C:C,0,0)+IF(Calc!$D$18=1,_xlfn.XLOOKUP(A144,Montage!A:A,Montage!D:D,0,0),0)</f>
        <v/>
      </c>
    </row>
    <row r="145">
      <c r="A145" s="79" t="inlineStr">
        <is>
          <t>20.01.11.0031</t>
        </is>
      </c>
      <c r="B145" s="80" t="inlineStr">
        <is>
          <t>Mesh Panel - 2D - 6/5/6 - W900H2030 - Galvanized - Cut</t>
        </is>
      </c>
      <c r="C145" s="79" t="inlineStr">
        <is>
          <t>st</t>
        </is>
      </c>
      <c r="D145">
        <f>_xlfn.XLOOKUP(A145,Price!A:A,Price!C:C,0,0)</f>
        <v/>
      </c>
      <c r="E145">
        <f>_xlfn.XLOOKUP(A145,Montage!A:A,Montage!C:C,0,0)+IF(Calc!$D$18=1,_xlfn.XLOOKUP(A145,Montage!A:A,Montage!D:D,0,0),0)</f>
        <v/>
      </c>
    </row>
    <row r="146">
      <c r="A146" s="79" t="inlineStr">
        <is>
          <t>20.01.11.0032</t>
        </is>
      </c>
      <c r="B146" s="80" t="inlineStr">
        <is>
          <t>Mesh Panel - 2D - 6/5/6 - W900H630 - RAL6005 - Cut</t>
        </is>
      </c>
      <c r="C146" s="79" t="inlineStr">
        <is>
          <t>st</t>
        </is>
      </c>
      <c r="D146">
        <f>_xlfn.XLOOKUP(A146,Price!A:A,Price!C:C,0,0)</f>
        <v/>
      </c>
      <c r="E146">
        <f>_xlfn.XLOOKUP(A146,Montage!A:A,Montage!C:C,0,0)+IF(Calc!$D$18=1,_xlfn.XLOOKUP(A146,Montage!A:A,Montage!D:D,0,0),0)</f>
        <v/>
      </c>
    </row>
    <row r="147">
      <c r="A147" s="79" t="inlineStr">
        <is>
          <t>20.01.11.0033</t>
        </is>
      </c>
      <c r="B147" s="80" t="inlineStr">
        <is>
          <t>Mesh Panel - 2D - 6/5/6 - W900H630 - RAL7016 - Cut</t>
        </is>
      </c>
      <c r="C147" s="79" t="inlineStr">
        <is>
          <t>st</t>
        </is>
      </c>
      <c r="D147">
        <f>_xlfn.XLOOKUP(A147,Price!A:A,Price!C:C,0,0)</f>
        <v/>
      </c>
      <c r="E147">
        <f>_xlfn.XLOOKUP(A147,Montage!A:A,Montage!C:C,0,0)+IF(Calc!$D$18=1,_xlfn.XLOOKUP(A147,Montage!A:A,Montage!D:D,0,0),0)</f>
        <v/>
      </c>
    </row>
    <row r="148">
      <c r="A148" s="79" t="inlineStr">
        <is>
          <t>20.01.11.0034</t>
        </is>
      </c>
      <c r="B148" s="80" t="inlineStr">
        <is>
          <t>Mesh Panel - 2D - 6/5/6 - W900H630 - RAL9005 - Cut</t>
        </is>
      </c>
      <c r="C148" s="79" t="inlineStr">
        <is>
          <t>st</t>
        </is>
      </c>
      <c r="D148">
        <f>_xlfn.XLOOKUP(A148,Price!A:A,Price!C:C,0,0)</f>
        <v/>
      </c>
      <c r="E148">
        <f>_xlfn.XLOOKUP(A148,Montage!A:A,Montage!C:C,0,0)+IF(Calc!$D$18=1,_xlfn.XLOOKUP(A148,Montage!A:A,Montage!D:D,0,0),0)</f>
        <v/>
      </c>
    </row>
    <row r="149">
      <c r="A149" s="79" t="inlineStr">
        <is>
          <t>20.01.11.0035</t>
        </is>
      </c>
      <c r="B149" s="80" t="inlineStr">
        <is>
          <t>Mesh Panel - 2D - 6/5/6 - W900H630 - Galvanized - Cut</t>
        </is>
      </c>
      <c r="C149" s="79" t="inlineStr">
        <is>
          <t>st</t>
        </is>
      </c>
      <c r="D149">
        <f>_xlfn.XLOOKUP(A149,Price!A:A,Price!C:C,0,0)</f>
        <v/>
      </c>
      <c r="E149">
        <f>_xlfn.XLOOKUP(A149,Montage!A:A,Montage!C:C,0,0)+IF(Calc!$D$18=1,_xlfn.XLOOKUP(A149,Montage!A:A,Montage!D:D,0,0),0)</f>
        <v/>
      </c>
    </row>
    <row r="150">
      <c r="A150" s="79" t="inlineStr">
        <is>
          <t>20.01.11.0036</t>
        </is>
      </c>
      <c r="B150" s="80" t="inlineStr">
        <is>
          <t>Mesh Panel - 2D - 6/5/6 - W600H2030 - RAL6005 - Cut</t>
        </is>
      </c>
      <c r="C150" s="79" t="inlineStr">
        <is>
          <t>st</t>
        </is>
      </c>
      <c r="D150">
        <f>_xlfn.XLOOKUP(A150,Price!A:A,Price!C:C,0,0)</f>
        <v/>
      </c>
      <c r="E150">
        <f>_xlfn.XLOOKUP(A150,Montage!A:A,Montage!C:C,0,0)+IF(Calc!$D$18=1,_xlfn.XLOOKUP(A150,Montage!A:A,Montage!D:D,0,0),0)</f>
        <v/>
      </c>
    </row>
    <row r="151">
      <c r="A151" s="79" t="inlineStr">
        <is>
          <t>20.01.11.0037</t>
        </is>
      </c>
      <c r="B151" s="80" t="inlineStr">
        <is>
          <t>Mesh Panel - 2D - 6/5/6 - W600H2030 - RAL7016 - Cut</t>
        </is>
      </c>
      <c r="C151" s="79" t="inlineStr">
        <is>
          <t>st</t>
        </is>
      </c>
      <c r="D151">
        <f>_xlfn.XLOOKUP(A151,Price!A:A,Price!C:C,0,0)</f>
        <v/>
      </c>
      <c r="E151">
        <f>_xlfn.XLOOKUP(A151,Montage!A:A,Montage!C:C,0,0)+IF(Calc!$D$18=1,_xlfn.XLOOKUP(A151,Montage!A:A,Montage!D:D,0,0),0)</f>
        <v/>
      </c>
    </row>
    <row r="152">
      <c r="A152" s="79" t="inlineStr">
        <is>
          <t>20.01.11.0038</t>
        </is>
      </c>
      <c r="B152" s="80" t="inlineStr">
        <is>
          <t>Mesh Panel - 2D - 6/5/6 - W600H2030 - RAL9005 - Cut</t>
        </is>
      </c>
      <c r="C152" s="79" t="inlineStr">
        <is>
          <t>st</t>
        </is>
      </c>
      <c r="D152">
        <f>_xlfn.XLOOKUP(A152,Price!A:A,Price!C:C,0,0)</f>
        <v/>
      </c>
      <c r="E152">
        <f>_xlfn.XLOOKUP(A152,Montage!A:A,Montage!C:C,0,0)+IF(Calc!$D$18=1,_xlfn.XLOOKUP(A152,Montage!A:A,Montage!D:D,0,0),0)</f>
        <v/>
      </c>
    </row>
    <row r="153">
      <c r="A153" s="79" t="inlineStr">
        <is>
          <t>20.01.11.0039</t>
        </is>
      </c>
      <c r="B153" s="80" t="inlineStr">
        <is>
          <t>Mesh Panel - 2D - 6/5/6 - W600H2030 - Galvanized - Cut</t>
        </is>
      </c>
      <c r="C153" s="79" t="inlineStr">
        <is>
          <t>st</t>
        </is>
      </c>
      <c r="D153">
        <f>_xlfn.XLOOKUP(A153,Price!A:A,Price!C:C,0,0)</f>
        <v/>
      </c>
      <c r="E153">
        <f>_xlfn.XLOOKUP(A153,Montage!A:A,Montage!C:C,0,0)+IF(Calc!$D$18=1,_xlfn.XLOOKUP(A153,Montage!A:A,Montage!D:D,0,0),0)</f>
        <v/>
      </c>
    </row>
    <row r="154">
      <c r="A154" s="79" t="inlineStr">
        <is>
          <t>20.01.11.0040</t>
        </is>
      </c>
      <c r="B154" s="80" t="inlineStr">
        <is>
          <t>Mesh Panel - 2D - 6/5/6 - W600H630 - RAL6005 - Cut</t>
        </is>
      </c>
      <c r="C154" s="79" t="inlineStr">
        <is>
          <t>st</t>
        </is>
      </c>
      <c r="D154">
        <f>_xlfn.XLOOKUP(A154,Price!A:A,Price!C:C,0,0)</f>
        <v/>
      </c>
      <c r="E154">
        <f>_xlfn.XLOOKUP(A154,Montage!A:A,Montage!C:C,0,0)+IF(Calc!$D$18=1,_xlfn.XLOOKUP(A154,Montage!A:A,Montage!D:D,0,0),0)</f>
        <v/>
      </c>
    </row>
    <row r="155">
      <c r="A155" s="79" t="inlineStr">
        <is>
          <t>20.01.11.0041</t>
        </is>
      </c>
      <c r="B155" s="80" t="inlineStr">
        <is>
          <t>Mesh Panel - 2D - 6/5/6 - W600H630 - RAL7016 - Cut</t>
        </is>
      </c>
      <c r="C155" s="79" t="inlineStr">
        <is>
          <t>st</t>
        </is>
      </c>
      <c r="D155">
        <f>_xlfn.XLOOKUP(A155,Price!A:A,Price!C:C,0,0)</f>
        <v/>
      </c>
      <c r="E155">
        <f>_xlfn.XLOOKUP(A155,Montage!A:A,Montage!C:C,0,0)+IF(Calc!$D$18=1,_xlfn.XLOOKUP(A155,Montage!A:A,Montage!D:D,0,0),0)</f>
        <v/>
      </c>
    </row>
    <row r="156">
      <c r="A156" s="79" t="inlineStr">
        <is>
          <t>20.01.11.0042</t>
        </is>
      </c>
      <c r="B156" s="80" t="inlineStr">
        <is>
          <t>Mesh Panel - 2D - 6/5/6 - W600H630 - RAL9005 - Cut</t>
        </is>
      </c>
      <c r="C156" s="79" t="inlineStr">
        <is>
          <t>st</t>
        </is>
      </c>
      <c r="D156">
        <f>_xlfn.XLOOKUP(A156,Price!A:A,Price!C:C,0,0)</f>
        <v/>
      </c>
      <c r="E156">
        <f>_xlfn.XLOOKUP(A156,Montage!A:A,Montage!C:C,0,0)+IF(Calc!$D$18=1,_xlfn.XLOOKUP(A156,Montage!A:A,Montage!D:D,0,0),0)</f>
        <v/>
      </c>
    </row>
    <row r="157">
      <c r="A157" s="79" t="inlineStr">
        <is>
          <t>20.01.11.0043</t>
        </is>
      </c>
      <c r="B157" s="80" t="inlineStr">
        <is>
          <t>Mesh Panel - 2D - 6/5/6 - W600H630 - Galvanized - Cut</t>
        </is>
      </c>
      <c r="C157" s="79" t="inlineStr">
        <is>
          <t>st</t>
        </is>
      </c>
      <c r="D157">
        <f>_xlfn.XLOOKUP(A157,Price!A:A,Price!C:C,0,0)</f>
        <v/>
      </c>
      <c r="E157">
        <f>_xlfn.XLOOKUP(A157,Montage!A:A,Montage!C:C,0,0)+IF(Calc!$D$18=1,_xlfn.XLOOKUP(A157,Montage!A:A,Montage!D:D,0,0),0)</f>
        <v/>
      </c>
    </row>
    <row r="158">
      <c r="A158" s="79" t="inlineStr">
        <is>
          <t>20.01.11.0044</t>
        </is>
      </c>
      <c r="B158" s="80" t="inlineStr">
        <is>
          <t>Mesh Panel - 2D - 6/5/6 - W350H2030 - RAL6005 - Cut</t>
        </is>
      </c>
      <c r="C158" s="79" t="inlineStr">
        <is>
          <t>st</t>
        </is>
      </c>
      <c r="D158">
        <f>_xlfn.XLOOKUP(A158,Price!A:A,Price!C:C,0,0)</f>
        <v/>
      </c>
      <c r="E158">
        <f>_xlfn.XLOOKUP(A158,Montage!A:A,Montage!C:C,0,0)+IF(Calc!$D$18=1,_xlfn.XLOOKUP(A158,Montage!A:A,Montage!D:D,0,0),0)</f>
        <v/>
      </c>
    </row>
    <row r="159">
      <c r="A159" s="79" t="inlineStr">
        <is>
          <t>20.01.11.0045</t>
        </is>
      </c>
      <c r="B159" s="80" t="inlineStr">
        <is>
          <t>Mesh Panel - 2D - 6/5/6 - W350H2030 - RAL7016 - Cut</t>
        </is>
      </c>
      <c r="C159" s="79" t="inlineStr">
        <is>
          <t>st</t>
        </is>
      </c>
      <c r="D159">
        <f>_xlfn.XLOOKUP(A159,Price!A:A,Price!C:C,0,0)</f>
        <v/>
      </c>
      <c r="E159">
        <f>_xlfn.XLOOKUP(A159,Montage!A:A,Montage!C:C,0,0)+IF(Calc!$D$18=1,_xlfn.XLOOKUP(A159,Montage!A:A,Montage!D:D,0,0),0)</f>
        <v/>
      </c>
    </row>
    <row r="160">
      <c r="A160" s="79" t="inlineStr">
        <is>
          <t>20.01.11.0046</t>
        </is>
      </c>
      <c r="B160" s="80" t="inlineStr">
        <is>
          <t>Mesh Panel - 2D - 6/5/6 - W350H2030 - RAL9005 - Cut</t>
        </is>
      </c>
      <c r="C160" s="79" t="inlineStr">
        <is>
          <t>st</t>
        </is>
      </c>
      <c r="D160">
        <f>_xlfn.XLOOKUP(A160,Price!A:A,Price!C:C,0,0)</f>
        <v/>
      </c>
      <c r="E160">
        <f>_xlfn.XLOOKUP(A160,Montage!A:A,Montage!C:C,0,0)+IF(Calc!$D$18=1,_xlfn.XLOOKUP(A160,Montage!A:A,Montage!D:D,0,0),0)</f>
        <v/>
      </c>
    </row>
    <row r="161">
      <c r="A161" s="79" t="inlineStr">
        <is>
          <t>20.01.11.0047</t>
        </is>
      </c>
      <c r="B161" s="80" t="inlineStr">
        <is>
          <t>Mesh Panel - 2D - 6/5/6 - W350H2030 - Galvanized - Cut</t>
        </is>
      </c>
      <c r="C161" s="79" t="inlineStr">
        <is>
          <t>st</t>
        </is>
      </c>
      <c r="D161">
        <f>_xlfn.XLOOKUP(A161,Price!A:A,Price!C:C,0,0)</f>
        <v/>
      </c>
      <c r="E161">
        <f>_xlfn.XLOOKUP(A161,Montage!A:A,Montage!C:C,0,0)+IF(Calc!$D$18=1,_xlfn.XLOOKUP(A161,Montage!A:A,Montage!D:D,0,0),0)</f>
        <v/>
      </c>
    </row>
    <row r="162">
      <c r="A162" s="79" t="inlineStr">
        <is>
          <t>20.01.11.0048</t>
        </is>
      </c>
      <c r="B162" s="80" t="inlineStr">
        <is>
          <t>Mesh Panel - 2D - 6/5/6 - W350H630 - RAL6005 - Cut</t>
        </is>
      </c>
      <c r="C162" s="79" t="inlineStr">
        <is>
          <t>st</t>
        </is>
      </c>
      <c r="D162">
        <f>_xlfn.XLOOKUP(A162,Price!A:A,Price!C:C,0,0)</f>
        <v/>
      </c>
      <c r="E162">
        <f>_xlfn.XLOOKUP(A162,Montage!A:A,Montage!C:C,0,0)+IF(Calc!$D$18=1,_xlfn.XLOOKUP(A162,Montage!A:A,Montage!D:D,0,0),0)</f>
        <v/>
      </c>
    </row>
    <row r="163">
      <c r="A163" s="79" t="inlineStr">
        <is>
          <t>20.01.11.0049</t>
        </is>
      </c>
      <c r="B163" s="80" t="inlineStr">
        <is>
          <t>Mesh Panel - 2D - 6/5/6 - W350H630 - RAL7016 - Cut</t>
        </is>
      </c>
      <c r="C163" s="79" t="inlineStr">
        <is>
          <t>st</t>
        </is>
      </c>
      <c r="D163">
        <f>_xlfn.XLOOKUP(A163,Price!A:A,Price!C:C,0,0)</f>
        <v/>
      </c>
      <c r="E163">
        <f>_xlfn.XLOOKUP(A163,Montage!A:A,Montage!C:C,0,0)+IF(Calc!$D$18=1,_xlfn.XLOOKUP(A163,Montage!A:A,Montage!D:D,0,0),0)</f>
        <v/>
      </c>
    </row>
    <row r="164">
      <c r="A164" s="79" t="inlineStr">
        <is>
          <t>20.01.11.0050</t>
        </is>
      </c>
      <c r="B164" s="80" t="inlineStr">
        <is>
          <t>Mesh Panel - 2D - 6/5/6 - W350H630 - RAL9005 - Cut</t>
        </is>
      </c>
      <c r="C164" s="79" t="inlineStr">
        <is>
          <t>st</t>
        </is>
      </c>
      <c r="D164">
        <f>_xlfn.XLOOKUP(A164,Price!A:A,Price!C:C,0,0)</f>
        <v/>
      </c>
      <c r="E164">
        <f>_xlfn.XLOOKUP(A164,Montage!A:A,Montage!C:C,0,0)+IF(Calc!$D$18=1,_xlfn.XLOOKUP(A164,Montage!A:A,Montage!D:D,0,0),0)</f>
        <v/>
      </c>
    </row>
    <row r="165">
      <c r="A165" s="79" t="inlineStr">
        <is>
          <t>20.01.11.0051</t>
        </is>
      </c>
      <c r="B165" s="80" t="inlineStr">
        <is>
          <t>Mesh Panel - 2D - 6/5/6 - W350H630 - Galvanized - Cut</t>
        </is>
      </c>
      <c r="C165" s="79" t="inlineStr">
        <is>
          <t>st</t>
        </is>
      </c>
      <c r="D165">
        <f>_xlfn.XLOOKUP(A165,Price!A:A,Price!C:C,0,0)</f>
        <v/>
      </c>
      <c r="E165">
        <f>_xlfn.XLOOKUP(A165,Montage!A:A,Montage!C:C,0,0)+IF(Calc!$D$18=1,_xlfn.XLOOKUP(A165,Montage!A:A,Montage!D:D,0,0),0)</f>
        <v/>
      </c>
    </row>
    <row r="166">
      <c r="A166" s="79" t="inlineStr">
        <is>
          <t>20.01.12.0001</t>
        </is>
      </c>
      <c r="B166" s="80" t="inlineStr">
        <is>
          <t>Mesh Panel - 2D - 6/5/6 - W2500H2030 - RAL6005</t>
        </is>
      </c>
      <c r="C166" s="79" t="inlineStr">
        <is>
          <t>st</t>
        </is>
      </c>
      <c r="D166">
        <f>_xlfn.XLOOKUP(A166,Price!A:A,Price!C:C,0,0)</f>
        <v/>
      </c>
      <c r="E166">
        <f>_xlfn.XLOOKUP(A166,Montage!A:A,Montage!C:C,0,0)+IF(Calc!$D$18=1,_xlfn.XLOOKUP(A166,Montage!A:A,Montage!D:D,0,0),0)</f>
        <v/>
      </c>
    </row>
    <row r="167">
      <c r="A167" s="79" t="inlineStr">
        <is>
          <t>20.01.12.0002</t>
        </is>
      </c>
      <c r="B167" s="80" t="inlineStr">
        <is>
          <t>Mesh Panel - 2D - 6/5/6 - W2500H2030 - RAL7016</t>
        </is>
      </c>
      <c r="C167" s="79" t="inlineStr">
        <is>
          <t>st</t>
        </is>
      </c>
      <c r="D167">
        <f>_xlfn.XLOOKUP(A167,Price!A:A,Price!C:C,0,0)</f>
        <v/>
      </c>
      <c r="E167">
        <f>_xlfn.XLOOKUP(A167,Montage!A:A,Montage!C:C,0,0)+IF(Calc!$D$18=1,_xlfn.XLOOKUP(A167,Montage!A:A,Montage!D:D,0,0),0)</f>
        <v/>
      </c>
    </row>
    <row r="168">
      <c r="A168" s="79" t="inlineStr">
        <is>
          <t>20.01.12.0003</t>
        </is>
      </c>
      <c r="B168" s="80" t="inlineStr">
        <is>
          <t>Mesh Panel - 2D - 6/5/6 - W2500H2030 - RAL9005</t>
        </is>
      </c>
      <c r="C168" s="79" t="inlineStr">
        <is>
          <t>st</t>
        </is>
      </c>
      <c r="D168">
        <f>_xlfn.XLOOKUP(A168,Price!A:A,Price!C:C,0,0)</f>
        <v/>
      </c>
      <c r="E168">
        <f>_xlfn.XLOOKUP(A168,Montage!A:A,Montage!C:C,0,0)+IF(Calc!$D$18=1,_xlfn.XLOOKUP(A168,Montage!A:A,Montage!D:D,0,0),0)</f>
        <v/>
      </c>
    </row>
    <row r="169">
      <c r="A169" s="79" t="inlineStr">
        <is>
          <t>20.01.12.0004</t>
        </is>
      </c>
      <c r="B169" s="80" t="inlineStr">
        <is>
          <t>Mesh Panel - 2D - 6/5/6 - W2500H2030 - Galvanized</t>
        </is>
      </c>
      <c r="C169" s="79" t="inlineStr">
        <is>
          <t>st</t>
        </is>
      </c>
      <c r="D169">
        <f>_xlfn.XLOOKUP(A169,Price!A:A,Price!C:C,0,0)</f>
        <v/>
      </c>
      <c r="E169">
        <f>_xlfn.XLOOKUP(A169,Montage!A:A,Montage!C:C,0,0)+IF(Calc!$D$18=1,_xlfn.XLOOKUP(A169,Montage!A:A,Montage!D:D,0,0),0)</f>
        <v/>
      </c>
    </row>
    <row r="170">
      <c r="A170" s="79" t="inlineStr">
        <is>
          <t>20.01.12.0005</t>
        </is>
      </c>
      <c r="B170" s="80" t="inlineStr">
        <is>
          <t>Mesh Panel - 2D - 6/5/6 - W2500H630 - RAL6005</t>
        </is>
      </c>
      <c r="C170" s="79" t="inlineStr">
        <is>
          <t>st</t>
        </is>
      </c>
      <c r="D170">
        <f>_xlfn.XLOOKUP(A170,Price!A:A,Price!C:C,0,0)</f>
        <v/>
      </c>
      <c r="E170">
        <f>_xlfn.XLOOKUP(A170,Montage!A:A,Montage!C:C,0,0)+IF(Calc!$D$18=1,_xlfn.XLOOKUP(A170,Montage!A:A,Montage!D:D,0,0),0)</f>
        <v/>
      </c>
    </row>
    <row r="171">
      <c r="A171" s="79" t="inlineStr">
        <is>
          <t>20.01.12.0006</t>
        </is>
      </c>
      <c r="B171" s="80" t="inlineStr">
        <is>
          <t>Mesh Panel - 2D - 6/5/6 - W2500H630 - RAL7016</t>
        </is>
      </c>
      <c r="C171" s="79" t="inlineStr">
        <is>
          <t>st</t>
        </is>
      </c>
      <c r="D171">
        <f>_xlfn.XLOOKUP(A171,Price!A:A,Price!C:C,0,0)</f>
        <v/>
      </c>
      <c r="E171">
        <f>_xlfn.XLOOKUP(A171,Montage!A:A,Montage!C:C,0,0)+IF(Calc!$D$18=1,_xlfn.XLOOKUP(A171,Montage!A:A,Montage!D:D,0,0),0)</f>
        <v/>
      </c>
    </row>
    <row r="172">
      <c r="A172" s="79" t="inlineStr">
        <is>
          <t>20.01.12.0007</t>
        </is>
      </c>
      <c r="B172" s="80" t="inlineStr">
        <is>
          <t>Mesh Panel - 2D - 6/5/6 - W2500H630 - RAL9005</t>
        </is>
      </c>
      <c r="C172" s="79" t="inlineStr">
        <is>
          <t>st</t>
        </is>
      </c>
      <c r="D172">
        <f>_xlfn.XLOOKUP(A172,Price!A:A,Price!C:C,0,0)</f>
        <v/>
      </c>
      <c r="E172">
        <f>_xlfn.XLOOKUP(A172,Montage!A:A,Montage!C:C,0,0)+IF(Calc!$D$18=1,_xlfn.XLOOKUP(A172,Montage!A:A,Montage!D:D,0,0),0)</f>
        <v/>
      </c>
    </row>
    <row r="173">
      <c r="A173" s="79" t="inlineStr">
        <is>
          <t>20.01.12.0008</t>
        </is>
      </c>
      <c r="B173" s="80" t="inlineStr">
        <is>
          <t>Mesh Panel - 2D - 6/5/6 - W2500H630 - Galvanized</t>
        </is>
      </c>
      <c r="C173" s="79" t="inlineStr">
        <is>
          <t>st</t>
        </is>
      </c>
      <c r="D173">
        <f>_xlfn.XLOOKUP(A173,Price!A:A,Price!C:C,0,0)</f>
        <v/>
      </c>
      <c r="E173">
        <f>_xlfn.XLOOKUP(A173,Montage!A:A,Montage!C:C,0,0)+IF(Calc!$D$18=1,_xlfn.XLOOKUP(A173,Montage!A:A,Montage!D:D,0,0),0)</f>
        <v/>
      </c>
    </row>
    <row r="174">
      <c r="A174" s="79" t="inlineStr">
        <is>
          <t>08.02.04.0007</t>
        </is>
      </c>
      <c r="B174" s="80" t="inlineStr">
        <is>
          <t>Glass Panel - Tempered - Clear - T=8mm - W950H2150</t>
        </is>
      </c>
      <c r="C174" s="79" t="inlineStr">
        <is>
          <t>st</t>
        </is>
      </c>
      <c r="D174">
        <f>_xlfn.XLOOKUP(A174,Price!A:A,Price!C:C,0,0)</f>
        <v/>
      </c>
      <c r="E174">
        <f>_xlfn.XLOOKUP(A174,Montage!A:A,Montage!C:C,0,0)+IF(Calc!$D$18=1,_xlfn.XLOOKUP(A174,Montage!A:A,Montage!D:D,0,0),0)</f>
        <v/>
      </c>
    </row>
    <row r="175">
      <c r="A175" s="79" t="inlineStr">
        <is>
          <t>08.02.04.0008</t>
        </is>
      </c>
      <c r="B175" s="80" t="inlineStr">
        <is>
          <t>Glass Panel - Tempered - Clear - T=8mm - W1195H2150</t>
        </is>
      </c>
      <c r="C175" s="79" t="inlineStr">
        <is>
          <t>st</t>
        </is>
      </c>
      <c r="D175">
        <f>_xlfn.XLOOKUP(A175,Price!A:A,Price!C:C,0,0)</f>
        <v/>
      </c>
      <c r="E175">
        <f>_xlfn.XLOOKUP(A175,Montage!A:A,Montage!C:C,0,0)+IF(Calc!$D$18=1,_xlfn.XLOOKUP(A175,Montage!A:A,Montage!D:D,0,0),0)</f>
        <v/>
      </c>
    </row>
    <row r="176">
      <c r="A176" s="79" t="inlineStr">
        <is>
          <t>01.06.11.0011</t>
        </is>
      </c>
      <c r="B176" s="79" t="inlineStr">
        <is>
          <t>Steel Roof Sheet - RAL7016 - L=2020mm</t>
        </is>
      </c>
      <c r="C176" s="79" t="inlineStr">
        <is>
          <t>st</t>
        </is>
      </c>
      <c r="D176">
        <f>_xlfn.XLOOKUP(A176,Price!A:A,Price!C:C,0,0)</f>
        <v/>
      </c>
      <c r="E176">
        <f>_xlfn.XLOOKUP(A176,Montage!A:A,Montage!C:C,0,0)+IF(Calc!$D$18=1,_xlfn.XLOOKUP(A176,Montage!A:A,Montage!D:D,0,0),0)</f>
        <v/>
      </c>
      <c r="M176" s="12" t="n"/>
    </row>
    <row r="177">
      <c r="A177" s="79" t="inlineStr">
        <is>
          <t>01.06.11.0012</t>
        </is>
      </c>
      <c r="B177" s="79" t="inlineStr">
        <is>
          <t>Steel Roof Sheet - RAL7016 - L=2520mm</t>
        </is>
      </c>
      <c r="C177" s="79" t="inlineStr">
        <is>
          <t>st</t>
        </is>
      </c>
      <c r="D177">
        <f>_xlfn.XLOOKUP(A177,Price!A:A,Price!C:C,0,0)</f>
        <v/>
      </c>
      <c r="E177">
        <f>_xlfn.XLOOKUP(A177,Montage!A:A,Montage!C:C,0,0)+IF(Calc!$D$18=1,_xlfn.XLOOKUP(A177,Montage!A:A,Montage!D:D,0,0),0)</f>
        <v/>
      </c>
      <c r="M177" s="12" t="n"/>
    </row>
    <row r="178">
      <c r="A178" s="79" t="inlineStr">
        <is>
          <t>07.01.05.0013</t>
        </is>
      </c>
      <c r="B178" s="79" t="inlineStr">
        <is>
          <t>Polycarbonate Roof Sheet - Trapez 250/35 - Clear - T=1,00mm - L=2020mm</t>
        </is>
      </c>
      <c r="C178" s="79" t="inlineStr">
        <is>
          <t>st</t>
        </is>
      </c>
      <c r="D178">
        <f>_xlfn.XLOOKUP(A178,Price!A:A,Price!C:C,0,0)</f>
        <v/>
      </c>
      <c r="E178">
        <f>_xlfn.XLOOKUP(A178,Montage!A:A,Montage!C:C,0,0)+IF(Calc!$D$18=1,_xlfn.XLOOKUP(A178,Montage!A:A,Montage!D:D,0,0),0)</f>
        <v/>
      </c>
      <c r="M178" s="12" t="n"/>
    </row>
    <row r="179">
      <c r="A179" s="79" t="inlineStr">
        <is>
          <t>07.01.05.0014</t>
        </is>
      </c>
      <c r="B179" s="79" t="inlineStr">
        <is>
          <t>Polycarbonate Roof Sheet - Trapez 250/35 - Clear - T=1,00mm - L=2520mm</t>
        </is>
      </c>
      <c r="C179" s="79" t="inlineStr">
        <is>
          <t>st</t>
        </is>
      </c>
      <c r="D179">
        <f>_xlfn.XLOOKUP(A179,Price!A:A,Price!C:C,0,0)</f>
        <v/>
      </c>
      <c r="E179">
        <f>_xlfn.XLOOKUP(A179,Montage!A:A,Montage!C:C,0,0)+IF(Calc!$D$18=1,_xlfn.XLOOKUP(A179,Montage!A:A,Montage!D:D,0,0),0)</f>
        <v/>
      </c>
    </row>
    <row r="180">
      <c r="A180" s="80" t="inlineStr">
        <is>
          <t>37.44.06.0001</t>
        </is>
      </c>
      <c r="B180" s="80" t="inlineStr">
        <is>
          <t>Alu L-profile - 50/125 - R5T8 - L=3000mm</t>
        </is>
      </c>
      <c r="C180" s="79" t="inlineStr">
        <is>
          <t>st</t>
        </is>
      </c>
      <c r="D180">
        <f>_xlfn.XLOOKUP(A180,Price!A:A,Price!C:C,0,0)</f>
        <v/>
      </c>
      <c r="E180">
        <f>_xlfn.XLOOKUP(A180,Montage!A:A,Montage!C:C,0,0)+IF(Calc!$D$18=1,_xlfn.XLOOKUP(A180,Montage!A:A,Montage!D:D,0,0),0)</f>
        <v/>
      </c>
    </row>
    <row r="181">
      <c r="A181" s="80" t="inlineStr">
        <is>
          <t>37.44.04.0002</t>
        </is>
      </c>
      <c r="B181" s="80" t="inlineStr">
        <is>
          <t>Alu L-profile - 50/50 - R5T8 - L=3000mm</t>
        </is>
      </c>
      <c r="C181" s="79" t="inlineStr">
        <is>
          <t>st</t>
        </is>
      </c>
      <c r="D181">
        <f>_xlfn.XLOOKUP(A181,Price!A:A,Price!C:C,0,0)</f>
        <v/>
      </c>
      <c r="E181">
        <f>_xlfn.XLOOKUP(A181,Montage!A:A,Montage!C:C,0,0)+IF(Calc!$D$18=1,_xlfn.XLOOKUP(A181,Montage!A:A,Montage!D:D,0,0),0)</f>
        <v/>
      </c>
    </row>
    <row r="182">
      <c r="A182" s="79" t="inlineStr">
        <is>
          <t>30.05.04.0039</t>
        </is>
      </c>
      <c r="B182" s="79" t="inlineStr">
        <is>
          <t>LED Fixture - 33W/3960lm/IP66 - L=1285mm - Ledvance 4058075740914</t>
        </is>
      </c>
      <c r="C182" s="79" t="inlineStr">
        <is>
          <t>st</t>
        </is>
      </c>
      <c r="D182">
        <f>_xlfn.XLOOKUP(A182,Price!A:A,Price!C:C,0,0)</f>
        <v/>
      </c>
      <c r="E182">
        <f>_xlfn.XLOOKUP(A182,Montage!A:A,Montage!C:C,0,0)+IF(Calc!$D$18=1,_xlfn.XLOOKUP(A182,Montage!A:A,Montage!D:D,0,0),0)</f>
        <v/>
      </c>
    </row>
    <row r="183">
      <c r="A183" s="79" t="inlineStr">
        <is>
          <t>30.04.01.0001</t>
        </is>
      </c>
      <c r="B183" s="79" t="inlineStr">
        <is>
          <t>PVC Conduit 20mm - Class 3231 - RAL7035 - L=3000mm - Pipelife 1196040600</t>
        </is>
      </c>
      <c r="C183" s="79" t="inlineStr">
        <is>
          <t>m</t>
        </is>
      </c>
      <c r="D183">
        <f>_xlfn.XLOOKUP(A183,Price!A:A,Price!C:C,0,0)</f>
        <v/>
      </c>
      <c r="E183">
        <f>_xlfn.XLOOKUP(A183,Montage!A:A,Montage!C:C,0,0)+IF(Calc!$D$18=1,_xlfn.XLOOKUP(A183,Montage!A:A,Montage!D:D,0,0),0)</f>
        <v/>
      </c>
    </row>
    <row r="184">
      <c r="A184" s="79" t="inlineStr">
        <is>
          <t>30.01.04.0001</t>
        </is>
      </c>
      <c r="B184" s="79" t="inlineStr">
        <is>
          <t>Electricity cable - XGB 3G 1,5mm² - Green</t>
        </is>
      </c>
      <c r="C184" s="79" t="inlineStr">
        <is>
          <t>m</t>
        </is>
      </c>
      <c r="D184">
        <f>_xlfn.XLOOKUP(A184,Price!A:A,Price!C:C,0,0)</f>
        <v/>
      </c>
      <c r="E184">
        <f>_xlfn.XLOOKUP(A184,Montage!A:A,Montage!C:C,0,0)+IF(Calc!$D$18=1,_xlfn.XLOOKUP(A184,Montage!A:A,Montage!D:D,0,0),0)</f>
        <v/>
      </c>
    </row>
    <row r="185">
      <c r="A185" s="79" t="inlineStr">
        <is>
          <t>03.02.02.0092</t>
        </is>
      </c>
      <c r="B185" s="80" t="inlineStr">
        <is>
          <t>Alu L-profile - 80x40x3</t>
        </is>
      </c>
      <c r="C185" s="79" t="inlineStr">
        <is>
          <t>m</t>
        </is>
      </c>
      <c r="D185">
        <f>_xlfn.XLOOKUP(A185,Price!A:A,Price!C:C,0,0)</f>
        <v/>
      </c>
      <c r="E185">
        <f>_xlfn.XLOOKUP(A185,Montage!A:A,Montage!C:C,0,0)+IF(Calc!$D$18=1,_xlfn.XLOOKUP(A185,Montage!A:A,Montage!D:D,0,0),0)</f>
        <v/>
      </c>
    </row>
    <row r="186">
      <c r="A186" s="79" t="inlineStr">
        <is>
          <t>03.02.02.0110</t>
        </is>
      </c>
      <c r="B186" s="80" t="inlineStr">
        <is>
          <t>Alu L-profile - 80x40x3 - Powder Coated</t>
        </is>
      </c>
      <c r="C186" s="79" t="inlineStr">
        <is>
          <t>m</t>
        </is>
      </c>
      <c r="D186">
        <f>_xlfn.XLOOKUP(A186,Price!A:A,Price!C:C,0,0)</f>
        <v/>
      </c>
      <c r="E186">
        <f>_xlfn.XLOOKUP(A186,Montage!A:A,Montage!C:C,0,0)+IF(Calc!$D$18=1,_xlfn.XLOOKUP(A186,Montage!A:A,Montage!D:D,0,0),0)</f>
        <v/>
      </c>
    </row>
    <row r="187" ht="15.95" customHeight="1">
      <c r="A187" s="79" t="inlineStr">
        <is>
          <t>15.02.02.0124</t>
        </is>
      </c>
      <c r="B187" s="81" t="inlineStr">
        <is>
          <t>Hexagon head bolt - DIN933 - M10X30</t>
        </is>
      </c>
      <c r="C187" s="79" t="inlineStr">
        <is>
          <t>st</t>
        </is>
      </c>
      <c r="D187">
        <f>_xlfn.XLOOKUP(A187,Price!A:A,Price!C:C,0,0)</f>
        <v/>
      </c>
      <c r="E187">
        <f>_xlfn.XLOOKUP(A187,Montage!A:A,Montage!C:C,0,0)+IF(Calc!$D$18=1,_xlfn.XLOOKUP(A187,Montage!A:A,Montage!D:D,0,0),0)</f>
        <v/>
      </c>
    </row>
    <row r="188" ht="15.95" customHeight="1">
      <c r="A188" s="83" t="inlineStr">
        <is>
          <t>15.02.02.0131</t>
        </is>
      </c>
      <c r="B188" s="81" t="inlineStr">
        <is>
          <t>Hexagon head bolt - DIN933 - M10X60</t>
        </is>
      </c>
      <c r="C188" s="79" t="inlineStr">
        <is>
          <t>st</t>
        </is>
      </c>
      <c r="D188">
        <f>_xlfn.XLOOKUP(A188,Price!A:A,Price!C:C,0,0)</f>
        <v/>
      </c>
      <c r="E188">
        <f>_xlfn.XLOOKUP(A188,Montage!A:A,Montage!C:C,0,0)+IF(Calc!$D$18=1,_xlfn.XLOOKUP(A188,Montage!A:A,Montage!D:D,0,0),0)</f>
        <v/>
      </c>
    </row>
    <row r="189">
      <c r="A189" s="79" t="inlineStr">
        <is>
          <t>15.02.02.0135</t>
        </is>
      </c>
      <c r="B189" s="82" t="inlineStr">
        <is>
          <t>Hexagon head bolt - DIN933 - M10X80</t>
        </is>
      </c>
      <c r="C189" s="79" t="inlineStr">
        <is>
          <t>st</t>
        </is>
      </c>
      <c r="D189">
        <f>_xlfn.XLOOKUP(A189,Price!A:A,Price!C:C,0,0)</f>
        <v/>
      </c>
      <c r="E189">
        <f>_xlfn.XLOOKUP(A189,Montage!A:A,Montage!C:C,0,0)+IF(Calc!$D$18=1,_xlfn.XLOOKUP(A189,Montage!A:A,Montage!D:D,0,0),0)</f>
        <v/>
      </c>
    </row>
    <row r="190">
      <c r="A190" s="79" t="inlineStr">
        <is>
          <t>15.02.02.0136</t>
        </is>
      </c>
      <c r="B190" s="82" t="inlineStr">
        <is>
          <t>Hexagon head bolt - DIN933 - M10X90</t>
        </is>
      </c>
      <c r="C190" s="79" t="inlineStr">
        <is>
          <t>st</t>
        </is>
      </c>
      <c r="D190">
        <f>_xlfn.XLOOKUP(A190,Price!A:A,Price!C:C,0,0)</f>
        <v/>
      </c>
      <c r="E190">
        <f>_xlfn.XLOOKUP(A190,Montage!A:A,Montage!C:C,0,0)+IF(Calc!$D$18=1,_xlfn.XLOOKUP(A190,Montage!A:A,Montage!D:D,0,0),0)</f>
        <v/>
      </c>
    </row>
    <row r="191">
      <c r="A191" s="79" t="inlineStr">
        <is>
          <t>15.02.02.0137</t>
        </is>
      </c>
      <c r="B191" s="82" t="inlineStr">
        <is>
          <t>Hexagon head bolt - DIN933 - M10X100</t>
        </is>
      </c>
      <c r="C191" s="79" t="inlineStr">
        <is>
          <t>st</t>
        </is>
      </c>
      <c r="D191">
        <f>_xlfn.XLOOKUP(A191,Price!A:A,Price!C:C,0,0)</f>
        <v/>
      </c>
      <c r="E191">
        <f>_xlfn.XLOOKUP(A191,Montage!A:A,Montage!C:C,0,0)+IF(Calc!$D$18=1,_xlfn.XLOOKUP(A191,Montage!A:A,Montage!D:D,0,0),0)</f>
        <v/>
      </c>
    </row>
    <row r="192" ht="15.95" customHeight="1">
      <c r="A192" s="79" t="inlineStr">
        <is>
          <t>15.02.02.0138</t>
        </is>
      </c>
      <c r="B192" s="81" t="inlineStr">
        <is>
          <t>Hexagon head bolt - DIN933 - M10X110</t>
        </is>
      </c>
      <c r="C192" s="79" t="inlineStr">
        <is>
          <t>st</t>
        </is>
      </c>
      <c r="D192">
        <f>_xlfn.XLOOKUP(A192,Price!A:A,Price!C:C,0,0)</f>
        <v/>
      </c>
      <c r="E192">
        <f>_xlfn.XLOOKUP(A192,Montage!A:A,Montage!C:C,0,0)+IF(Calc!$D$18=1,_xlfn.XLOOKUP(A192,Montage!A:A,Montage!D:D,0,0),0)</f>
        <v/>
      </c>
    </row>
    <row r="193" ht="15.95" customHeight="1">
      <c r="A193" s="79" t="inlineStr">
        <is>
          <t>15.02.02.0142</t>
        </is>
      </c>
      <c r="B193" s="81" t="inlineStr">
        <is>
          <t>Hexagon head bolt - DIN933 - M10X140</t>
        </is>
      </c>
      <c r="C193" s="79" t="inlineStr">
        <is>
          <t>st</t>
        </is>
      </c>
      <c r="D193">
        <f>_xlfn.XLOOKUP(A193,Price!A:A,Price!C:C,0,0)</f>
        <v/>
      </c>
      <c r="E193">
        <f>_xlfn.XLOOKUP(A193,Montage!A:A,Montage!C:C,0,0)+IF(Calc!$D$18=1,_xlfn.XLOOKUP(A193,Montage!A:A,Montage!D:D,0,0),0)</f>
        <v/>
      </c>
    </row>
    <row r="194">
      <c r="A194" s="79" t="inlineStr">
        <is>
          <t>15.03.01.0009</t>
        </is>
      </c>
      <c r="B194" s="82" t="inlineStr">
        <is>
          <t>Hexagon nut - DIN934 - M10</t>
        </is>
      </c>
      <c r="C194" s="79" t="inlineStr">
        <is>
          <t>st</t>
        </is>
      </c>
      <c r="D194">
        <f>_xlfn.XLOOKUP(A194,Price!A:A,Price!C:C,0,0)</f>
        <v/>
      </c>
      <c r="E194">
        <f>_xlfn.XLOOKUP(A194,Montage!A:A,Montage!C:C,0,0)+IF(Calc!$D$18=1,_xlfn.XLOOKUP(A194,Montage!A:A,Montage!D:D,0,0),0)</f>
        <v/>
      </c>
    </row>
    <row r="195">
      <c r="A195" s="79" t="inlineStr">
        <is>
          <t>15.08.03.0006</t>
        </is>
      </c>
      <c r="B195" s="82" t="inlineStr">
        <is>
          <t>Plain washer - DIN125-1A - M10</t>
        </is>
      </c>
      <c r="C195" s="79" t="inlineStr">
        <is>
          <t>st</t>
        </is>
      </c>
      <c r="D195">
        <f>_xlfn.XLOOKUP(A195,Price!A:A,Price!C:C,0,0)</f>
        <v/>
      </c>
      <c r="E195">
        <f>_xlfn.XLOOKUP(A195,Montage!A:A,Montage!C:C,0,0)+IF(Calc!$D$18=1,_xlfn.XLOOKUP(A195,Montage!A:A,Montage!D:D,0,0),0)</f>
        <v/>
      </c>
    </row>
    <row r="196">
      <c r="A196" s="79" t="inlineStr">
        <is>
          <t>15.02.11.0141</t>
        </is>
      </c>
      <c r="B196" s="82" t="inlineStr">
        <is>
          <t>Thread forming bolt - DIN7500D - M10x30</t>
        </is>
      </c>
      <c r="C196" s="79" t="inlineStr">
        <is>
          <t>st</t>
        </is>
      </c>
      <c r="D196">
        <f>_xlfn.XLOOKUP(A196,Price!A:A,Price!C:C,0,0)</f>
        <v/>
      </c>
      <c r="E196">
        <f>_xlfn.XLOOKUP(A196,Montage!A:A,Montage!C:C,0,0)+IF(Calc!$D$18=1,_xlfn.XLOOKUP(A196,Montage!A:A,Montage!D:D,0,0),0)</f>
        <v/>
      </c>
    </row>
    <row r="197">
      <c r="A197" s="79" t="inlineStr">
        <is>
          <t>19.02.02.0006</t>
        </is>
      </c>
      <c r="B197" s="82" t="inlineStr">
        <is>
          <t>Nut Cap - PE black - M10</t>
        </is>
      </c>
      <c r="C197" s="79" t="inlineStr">
        <is>
          <t>st</t>
        </is>
      </c>
      <c r="D197">
        <f>_xlfn.XLOOKUP(A197,Price!A:A,Price!C:C,0,0)</f>
        <v/>
      </c>
      <c r="E197">
        <f>_xlfn.XLOOKUP(A197,Montage!A:A,Montage!C:C,0,0)+IF(Calc!$D$18=1,_xlfn.XLOOKUP(A197,Montage!A:A,Montage!D:D,0,0),0)</f>
        <v/>
      </c>
    </row>
    <row r="198">
      <c r="A198" s="79" t="inlineStr">
        <is>
          <t>15.02.05.0066</t>
        </is>
      </c>
      <c r="B198" s="82" t="inlineStr">
        <is>
          <t>Hexagon socket button head screw - ISO 7380-2 - M10x40</t>
        </is>
      </c>
      <c r="C198" s="79" t="inlineStr">
        <is>
          <t>st</t>
        </is>
      </c>
      <c r="D198">
        <f>_xlfn.XLOOKUP(A198,Price!A:A,Price!C:C,0,0)</f>
        <v/>
      </c>
      <c r="E198">
        <f>_xlfn.XLOOKUP(A198,Montage!A:A,Montage!C:C,0,0)+IF(Calc!$D$18=1,_xlfn.XLOOKUP(A198,Montage!A:A,Montage!D:D,0,0),0)</f>
        <v/>
      </c>
    </row>
    <row r="199">
      <c r="A199" s="79" t="inlineStr">
        <is>
          <t>15.06.02.0050</t>
        </is>
      </c>
      <c r="B199" s="82" t="inlineStr">
        <is>
          <t>Self-drilling screw - neoprene washer - DIN7504K - 6,3x25</t>
        </is>
      </c>
      <c r="C199" s="79" t="inlineStr">
        <is>
          <t>st</t>
        </is>
      </c>
      <c r="D199">
        <f>_xlfn.XLOOKUP(A199,Price!A:A,Price!C:C,0,0)</f>
        <v/>
      </c>
      <c r="E199">
        <f>_xlfn.XLOOKUP(A199,Montage!A:A,Montage!C:C,0,0)+IF(Calc!$D$18=1,_xlfn.XLOOKUP(A199,Montage!A:A,Montage!D:D,0,0),0)</f>
        <v/>
      </c>
    </row>
    <row r="200">
      <c r="A200" s="79" t="inlineStr">
        <is>
          <t>16.04.03.0124</t>
        </is>
      </c>
      <c r="B200" s="82" t="inlineStr">
        <is>
          <t>Wood screw - Stainless A2 - 4x35mm</t>
        </is>
      </c>
      <c r="C200" s="79" t="inlineStr">
        <is>
          <t>st</t>
        </is>
      </c>
      <c r="D200">
        <f>_xlfn.XLOOKUP(A200,Price!A:A,Price!C:C,0,0)</f>
        <v/>
      </c>
      <c r="E200">
        <f>_xlfn.XLOOKUP(A200,Montage!A:A,Montage!C:C,0,0)+IF(Calc!$D$18=1,_xlfn.XLOOKUP(A200,Montage!A:A,Montage!D:D,0,0),0)</f>
        <v/>
      </c>
    </row>
    <row r="201">
      <c r="A201" s="79" t="inlineStr">
        <is>
          <t>14.09.01.0002</t>
        </is>
      </c>
      <c r="B201" s="82" t="inlineStr">
        <is>
          <t>Self-drilling screw with wings - 5,5x50mm</t>
        </is>
      </c>
      <c r="C201" s="79" t="inlineStr">
        <is>
          <t>st</t>
        </is>
      </c>
      <c r="D201">
        <f>_xlfn.XLOOKUP(A201,Price!A:A,Price!C:C,0,0)</f>
        <v/>
      </c>
      <c r="E201">
        <f>_xlfn.XLOOKUP(A201,Montage!A:A,Montage!C:C,0,0)+IF(Calc!$D$18=1,_xlfn.XLOOKUP(A201,Montage!A:A,Montage!D:D,0,0),0)</f>
        <v/>
      </c>
    </row>
    <row r="202">
      <c r="A202" s="83" t="inlineStr">
        <is>
          <t>17.04.01.0058</t>
        </is>
      </c>
      <c r="B202" s="82" t="inlineStr">
        <is>
          <t>Blind rivet - waterproof - DIN7337A - 4,8x12,5</t>
        </is>
      </c>
      <c r="C202" s="79" t="inlineStr">
        <is>
          <t>st</t>
        </is>
      </c>
      <c r="D202">
        <f>_xlfn.XLOOKUP(A202,Price!A:A,Price!C:C,0,0)</f>
        <v/>
      </c>
      <c r="E202">
        <f>_xlfn.XLOOKUP(A202,Montage!A:A,Montage!C:C,0,0)+IF(Calc!$D$18=1,_xlfn.XLOOKUP(A202,Montage!A:A,Montage!D:D,0,0),0)</f>
        <v/>
      </c>
    </row>
    <row r="203">
      <c r="A203" s="83" t="inlineStr">
        <is>
          <t>19.04.00.0001</t>
        </is>
      </c>
      <c r="B203" s="82" t="inlineStr">
        <is>
          <t>Nylon sleeve - PA6 - Ø26/14x6mm</t>
        </is>
      </c>
      <c r="C203" s="79" t="inlineStr">
        <is>
          <t>st</t>
        </is>
      </c>
      <c r="D203">
        <f>_xlfn.XLOOKUP(A203,Price!A:A,Price!C:C,0,0)</f>
        <v/>
      </c>
      <c r="E203">
        <f>_xlfn.XLOOKUP(A203,Montage!A:A,Montage!C:C,0,0)+IF(Calc!$D$18=1,_xlfn.XLOOKUP(A203,Montage!A:A,Montage!D:D,0,0),0)</f>
        <v/>
      </c>
    </row>
    <row r="204">
      <c r="A204" s="79" t="inlineStr">
        <is>
          <t>27.05.01.0001</t>
        </is>
      </c>
      <c r="B204" s="82" t="inlineStr">
        <is>
          <t>Leafguard - Ø50/70mm</t>
        </is>
      </c>
      <c r="C204" s="79" t="inlineStr">
        <is>
          <t>st</t>
        </is>
      </c>
      <c r="D204">
        <f>_xlfn.XLOOKUP(A204,Price!A:A,Price!C:C,0,0)</f>
        <v/>
      </c>
      <c r="E204">
        <f>_xlfn.XLOOKUP(A204,Montage!A:A,Montage!C:C,0,0)+IF(Calc!$D$18=1,_xlfn.XLOOKUP(A204,Montage!A:A,Montage!D:D,0,0),0)</f>
        <v/>
      </c>
    </row>
    <row r="205">
      <c r="A205" s="79" t="inlineStr">
        <is>
          <t>34.03.02.0034</t>
        </is>
      </c>
      <c r="B205" s="82" t="inlineStr">
        <is>
          <t>Hybrid polymer sealant - 400ml - Transparent - Proma Bond 334906</t>
        </is>
      </c>
      <c r="C205" s="79" t="inlineStr">
        <is>
          <t>st</t>
        </is>
      </c>
      <c r="D205">
        <f>_xlfn.XLOOKUP(A205,Price!A:A,Price!C:C,0,0)</f>
        <v/>
      </c>
      <c r="E205">
        <f>_xlfn.XLOOKUP(A205,Montage!A:A,Montage!C:C,0,0)+IF(Calc!$D$18=1,_xlfn.XLOOKUP(A205,Montage!A:A,Montage!D:D,0,0),0)</f>
        <v/>
      </c>
    </row>
    <row r="206">
      <c r="A206" s="79" t="inlineStr">
        <is>
          <t>18.01.09.0142</t>
        </is>
      </c>
      <c r="B206" s="82" t="inlineStr">
        <is>
          <t>Wedge Anchor - Baraco FM753ZN - M12/40x139mm</t>
        </is>
      </c>
      <c r="C206" s="79" t="inlineStr">
        <is>
          <t>st</t>
        </is>
      </c>
      <c r="D206">
        <f>_xlfn.XLOOKUP(A206,Price!A:A,Price!C:C,0,0)</f>
        <v/>
      </c>
      <c r="E206">
        <f>_xlfn.XLOOKUP(A206,Montage!A:A,Montage!C:C,0,0)+IF(Calc!$D$18=1,_xlfn.XLOOKUP(A206,Montage!A:A,Montage!D:D,0,0),0)</f>
        <v/>
      </c>
      <c r="K206" s="1" t="n"/>
    </row>
    <row r="207">
      <c r="A207" s="79" t="inlineStr">
        <is>
          <t>15.03.04.0006</t>
        </is>
      </c>
      <c r="B207" s="82" t="inlineStr">
        <is>
          <t>Hexagon domed cap nut - Zinc plated M12</t>
        </is>
      </c>
      <c r="C207" s="79" t="inlineStr">
        <is>
          <t>st</t>
        </is>
      </c>
      <c r="D207">
        <f>_xlfn.XLOOKUP(A207,Price!A:A,Price!C:C,0,0)</f>
        <v/>
      </c>
      <c r="E207">
        <f>_xlfn.XLOOKUP(A207,Montage!A:A,Montage!C:C,0,0)+IF(Calc!$D$18=1,_xlfn.XLOOKUP(A207,Montage!A:A,Montage!D:D,0,0),0)</f>
        <v/>
      </c>
    </row>
    <row r="208">
      <c r="A208" s="79" t="inlineStr">
        <is>
          <t>20.05.01.0004</t>
        </is>
      </c>
      <c r="B208" s="79" t="inlineStr">
        <is>
          <t>Panel Clamp - Uni - Double - RAL9005 - incl. screw and cap</t>
        </is>
      </c>
      <c r="C208" s="79" t="inlineStr">
        <is>
          <t>st</t>
        </is>
      </c>
      <c r="D208">
        <f>_xlfn.XLOOKUP(A208,Price!A:A,Price!C:C,0,0)</f>
        <v/>
      </c>
      <c r="E208">
        <f>_xlfn.XLOOKUP(A208,Montage!A:A,Montage!C:C,0,0)+IF(Calc!$D$18=1,_xlfn.XLOOKUP(A208,Montage!A:A,Montage!D:D,0,0),0)</f>
        <v/>
      </c>
    </row>
    <row r="209">
      <c r="A209" s="79" t="inlineStr">
        <is>
          <t>20.05.01.0005</t>
        </is>
      </c>
      <c r="B209" s="79" t="inlineStr">
        <is>
          <t>Panel Clamp - Uni - Single - RAL9005 - incl. screw and cap</t>
        </is>
      </c>
      <c r="C209" s="79" t="inlineStr">
        <is>
          <t>st</t>
        </is>
      </c>
      <c r="D209">
        <f>_xlfn.XLOOKUP(A209,Price!A:A,Price!C:C,0,0)</f>
        <v/>
      </c>
      <c r="E209">
        <f>_xlfn.XLOOKUP(A209,Montage!A:A,Montage!C:C,0,0)+IF(Calc!$D$18=1,_xlfn.XLOOKUP(A209,Montage!A:A,Montage!D:D,0,0),0)</f>
        <v/>
      </c>
    </row>
    <row r="210">
      <c r="A210" s="79" t="inlineStr">
        <is>
          <t>20.07.04.0009</t>
        </is>
      </c>
      <c r="B210" s="79" t="inlineStr">
        <is>
          <t>Keep - Locinox SFKO-QF-ALUM</t>
        </is>
      </c>
      <c r="C210" s="79" t="inlineStr">
        <is>
          <t>st</t>
        </is>
      </c>
      <c r="D210">
        <f>_xlfn.XLOOKUP(A210,Price!A:A,Price!C:C,0,0)</f>
        <v/>
      </c>
      <c r="E210">
        <f>_xlfn.XLOOKUP(A210,Montage!A:A,Montage!C:C,0,0)+IF(Calc!$D$18=1,_xlfn.XLOOKUP(A210,Montage!A:A,Montage!D:D,0,0),0)</f>
        <v/>
      </c>
    </row>
    <row r="211">
      <c r="A211" s="79" t="inlineStr">
        <is>
          <t>20.08.03.0117</t>
        </is>
      </c>
      <c r="B211" s="79" t="inlineStr">
        <is>
          <t>Eyebolt set - Locinox 1039SET-M16-65</t>
        </is>
      </c>
      <c r="C211" s="79" t="inlineStr">
        <is>
          <t>st</t>
        </is>
      </c>
      <c r="D211">
        <f>_xlfn.XLOOKUP(A211,Price!A:A,Price!C:C,0,0)</f>
        <v/>
      </c>
      <c r="E211">
        <f>_xlfn.XLOOKUP(A211,Montage!A:A,Montage!C:C,0,0)+IF(Calc!$D$18=1,_xlfn.XLOOKUP(A211,Montage!A:A,Montage!D:D,0,0),0)</f>
        <v/>
      </c>
    </row>
    <row r="212">
      <c r="A212" s="79" t="inlineStr">
        <is>
          <t>20.09.01.0039</t>
        </is>
      </c>
      <c r="B212" s="79" t="inlineStr">
        <is>
          <t>Drop bolt - Locinox VSF-K-QF1BL-ALUM</t>
        </is>
      </c>
      <c r="C212" s="79" t="inlineStr">
        <is>
          <t>st</t>
        </is>
      </c>
      <c r="D212">
        <f>_xlfn.XLOOKUP(A212,Price!A:A,Price!C:C,0,0)</f>
        <v/>
      </c>
      <c r="E212">
        <f>_xlfn.XLOOKUP(A212,Montage!A:A,Montage!C:C,0,0)+IF(Calc!$D$18=1,_xlfn.XLOOKUP(A212,Montage!A:A,Montage!D:D,0,0),0)</f>
        <v/>
      </c>
    </row>
    <row r="213">
      <c r="A213" s="79" t="inlineStr">
        <is>
          <t>20.10.01.0017</t>
        </is>
      </c>
      <c r="B213" s="79" t="inlineStr">
        <is>
          <t>Cover shield (2 pcs) - Locinox 3020-HYB-ALU-SILV</t>
        </is>
      </c>
      <c r="C213" s="79" t="inlineStr">
        <is>
          <t>st</t>
        </is>
      </c>
      <c r="D213">
        <f>_xlfn.XLOOKUP(A213,Price!A:A,Price!C:C,0,0)</f>
        <v/>
      </c>
      <c r="E213">
        <f>_xlfn.XLOOKUP(A213,Montage!A:A,Montage!C:C,0,0)+IF(Calc!$D$18=1,_xlfn.XLOOKUP(A213,Montage!A:A,Montage!D:D,0,0),0)</f>
        <v/>
      </c>
    </row>
    <row r="214">
      <c r="A214" s="79" t="inlineStr">
        <is>
          <t>20.10.01.0018</t>
        </is>
      </c>
      <c r="B214" s="79" t="inlineStr">
        <is>
          <t>Adapter set - Locinox UNIWING-PC-ALUM</t>
        </is>
      </c>
      <c r="C214" s="79" t="inlineStr">
        <is>
          <t>st</t>
        </is>
      </c>
      <c r="D214">
        <f>_xlfn.XLOOKUP(A214,Price!A:A,Price!C:C,0,0)</f>
        <v/>
      </c>
      <c r="E214">
        <f>_xlfn.XLOOKUP(A214,Montage!A:A,Montage!C:C,0,0)+IF(Calc!$D$18=1,_xlfn.XLOOKUP(A214,Montage!A:A,Montage!D:D,0,0),0)</f>
        <v/>
      </c>
    </row>
    <row r="215">
      <c r="A215" s="79" t="inlineStr">
        <is>
          <t>20.10.03.0013</t>
        </is>
      </c>
      <c r="B215" s="79" t="inlineStr">
        <is>
          <t>Handle pair - Locinox 3006M-H</t>
        </is>
      </c>
      <c r="C215" s="79" t="inlineStr">
        <is>
          <t>st</t>
        </is>
      </c>
      <c r="D215">
        <f>_xlfn.XLOOKUP(A215,Price!A:A,Price!C:C,0,0)</f>
        <v/>
      </c>
      <c r="E215">
        <f>_xlfn.XLOOKUP(A215,Montage!A:A,Montage!C:C,0,0)+IF(Calc!$D$18=1,_xlfn.XLOOKUP(A215,Montage!A:A,Montage!D:D,0,0),0)</f>
        <v/>
      </c>
    </row>
    <row r="216">
      <c r="A216" s="79" t="inlineStr">
        <is>
          <t>20.10.09.0017</t>
        </is>
      </c>
      <c r="B216" s="79" t="inlineStr">
        <is>
          <t>Lock case - Locinox SIXTYLOCK</t>
        </is>
      </c>
      <c r="C216" s="79" t="inlineStr">
        <is>
          <t>st</t>
        </is>
      </c>
      <c r="D216">
        <f>_xlfn.XLOOKUP(A216,Price!A:A,Price!C:C,0,0)</f>
        <v/>
      </c>
      <c r="E216">
        <f>_xlfn.XLOOKUP(A216,Montage!A:A,Montage!C:C,0,0)+IF(Calc!$D$18=1,_xlfn.XLOOKUP(A216,Montage!A:A,Montage!D:D,0,0),0)</f>
        <v/>
      </c>
    </row>
    <row r="217">
      <c r="A217" s="79" t="inlineStr">
        <is>
          <t>20.06.05.0096</t>
        </is>
      </c>
      <c r="B217" s="79" t="inlineStr">
        <is>
          <t>Mechanical code lock - Double sided - Locinox VITA-40-VSZ-2 - P00036414</t>
        </is>
      </c>
      <c r="C217" s="79" t="inlineStr">
        <is>
          <t>st</t>
        </is>
      </c>
      <c r="D217">
        <f>_xlfn.XLOOKUP(A217,Price!A:A,Price!C:C,0,0)</f>
        <v/>
      </c>
      <c r="E217">
        <f>_xlfn.XLOOKUP(A217,Montage!A:A,Montage!C:C,0,0)+IF(Calc!$D$18=1,_xlfn.XLOOKUP(A217,Montage!A:A,Montage!D:D,0,0),0)</f>
        <v/>
      </c>
    </row>
    <row r="218">
      <c r="A218" s="79" t="inlineStr">
        <is>
          <t>20.06.05.0097</t>
        </is>
      </c>
      <c r="B218" s="79" t="inlineStr">
        <is>
          <t>Mechanical code lock - Double sided - Locinox VITA-60-VSZ-2 - P00036417</t>
        </is>
      </c>
      <c r="C218" s="79" t="inlineStr">
        <is>
          <t>st</t>
        </is>
      </c>
      <c r="D218">
        <f>_xlfn.XLOOKUP(A218,Price!A:A,Price!C:C,0,0)</f>
        <v/>
      </c>
      <c r="E218">
        <f>_xlfn.XLOOKUP(A218,Montage!A:A,Montage!C:C,0,0)+IF(Calc!$D$18=1,_xlfn.XLOOKUP(A218,Montage!A:A,Montage!D:D,0,0),0)</f>
        <v/>
      </c>
      <c r="J218" s="79" t="n"/>
      <c r="K218" s="79" t="n"/>
    </row>
    <row r="219">
      <c r="A219" s="79" t="inlineStr">
        <is>
          <t>20.06.05.0098</t>
        </is>
      </c>
      <c r="B219" s="79" t="inlineStr">
        <is>
          <t>Battery powered code lock - Double sided - Locinox VERA-40-VSZ-2  - P00019406</t>
        </is>
      </c>
      <c r="C219" s="79" t="inlineStr">
        <is>
          <t>st</t>
        </is>
      </c>
      <c r="D219">
        <f>_xlfn.XLOOKUP(A219,Price!A:A,Price!C:C,0,0)</f>
        <v/>
      </c>
      <c r="E219">
        <f>_xlfn.XLOOKUP(A219,Montage!A:A,Montage!C:C,0,0)+IF(Calc!$D$18=1,_xlfn.XLOOKUP(A219,Montage!A:A,Montage!D:D,0,0),0)</f>
        <v/>
      </c>
      <c r="J219" s="79" t="n"/>
      <c r="K219" s="79" t="n"/>
    </row>
    <row r="220">
      <c r="A220" s="79" t="inlineStr">
        <is>
          <t>20.06.05.0099</t>
        </is>
      </c>
      <c r="B220" s="79" t="inlineStr">
        <is>
          <t>Battery powered code lock - Double sided - Locinox VERA-60-VSZ-2  - P00019407</t>
        </is>
      </c>
      <c r="C220" s="79" t="inlineStr">
        <is>
          <t>st</t>
        </is>
      </c>
      <c r="D220">
        <f>_xlfn.XLOOKUP(A220,Price!A:A,Price!C:C,0,0)</f>
        <v/>
      </c>
      <c r="E220">
        <f>_xlfn.XLOOKUP(A220,Montage!A:A,Montage!C:C,0,0)+IF(Calc!$D$18=1,_xlfn.XLOOKUP(A220,Montage!A:A,Montage!D:D,0,0),0)</f>
        <v/>
      </c>
      <c r="J220" s="79" t="n"/>
      <c r="K220" s="79" t="n"/>
    </row>
    <row r="221">
      <c r="A221" s="79" t="inlineStr">
        <is>
          <t>20.07.04.0010</t>
        </is>
      </c>
      <c r="B221" s="79" t="inlineStr">
        <is>
          <t>Keep for code locks - Locinox SFKO-V-ALUM - P00036294</t>
        </is>
      </c>
      <c r="C221" s="79" t="inlineStr">
        <is>
          <t>st</t>
        </is>
      </c>
      <c r="D221">
        <f>_xlfn.XLOOKUP(A221,Price!A:A,Price!C:C,0,0)</f>
        <v/>
      </c>
      <c r="E221">
        <f>_xlfn.XLOOKUP(A221,Montage!A:A,Montage!C:C,0,0)+IF(Calc!$D$18=1,_xlfn.XLOOKUP(A221,Montage!A:A,Montage!D:D,0,0),0)</f>
        <v/>
      </c>
      <c r="J221" s="79" t="n"/>
      <c r="K221" s="79" t="n"/>
    </row>
    <row r="222">
      <c r="A222" s="79" t="inlineStr">
        <is>
          <t>20.10.02.0041</t>
        </is>
      </c>
      <c r="B222" s="79" t="inlineStr">
        <is>
          <t>Euro Cylinder with 3 keys - 50/55mm</t>
        </is>
      </c>
      <c r="C222" s="79" t="inlineStr">
        <is>
          <t>st</t>
        </is>
      </c>
      <c r="D222">
        <f>_xlfn.XLOOKUP(A222,Price!A:A,Price!C:C,0,0)</f>
        <v/>
      </c>
      <c r="E222">
        <f>_xlfn.XLOOKUP(A222,Montage!A:A,Montage!C:C,0,0)+IF(Calc!$D$18=1,_xlfn.XLOOKUP(A222,Montage!A:A,Montage!D:D,0,0),0)</f>
        <v/>
      </c>
      <c r="J222" s="79" t="n"/>
      <c r="K222" s="79" t="n"/>
    </row>
    <row r="223">
      <c r="A223" s="79" t="inlineStr">
        <is>
          <t>20.10.02.0039</t>
        </is>
      </c>
      <c r="B223" s="79" t="inlineStr">
        <is>
          <t>Euro Cylinder with 3 keys - 50/70mm</t>
        </is>
      </c>
      <c r="C223" s="79" t="inlineStr">
        <is>
          <t>st</t>
        </is>
      </c>
      <c r="D223">
        <f>_xlfn.XLOOKUP(A223,Price!A:A,Price!C:C,0,0)</f>
        <v/>
      </c>
      <c r="E223">
        <f>_xlfn.XLOOKUP(A223,Montage!A:A,Montage!C:C,0,0)+IF(Calc!$D$18=1,_xlfn.XLOOKUP(A223,Montage!A:A,Montage!D:D,0,0),0)</f>
        <v/>
      </c>
      <c r="J223" s="79" t="n"/>
      <c r="K223" s="79" t="n"/>
    </row>
    <row r="224">
      <c r="A224" s="79" t="inlineStr">
        <is>
          <t>20.10.02.0021</t>
        </is>
      </c>
      <c r="B224" s="79" t="inlineStr">
        <is>
          <t>Euro Cylinder with 3 keys - 30/30mm</t>
        </is>
      </c>
      <c r="C224" s="79" t="inlineStr">
        <is>
          <t>st</t>
        </is>
      </c>
      <c r="D224">
        <f>_xlfn.XLOOKUP(A224,Price!A:A,Price!C:C,0,0)</f>
        <v/>
      </c>
      <c r="E224">
        <f>_xlfn.XLOOKUP(A224,Montage!A:A,Montage!C:C,0,0)+IF(Calc!$D$18=1,_xlfn.XLOOKUP(A224,Montage!A:A,Montage!D:D,0,0),0)</f>
        <v/>
      </c>
    </row>
    <row r="225">
      <c r="A225" s="79" t="inlineStr">
        <is>
          <t>20.10.02.0023</t>
        </is>
      </c>
      <c r="B225" s="79" t="inlineStr">
        <is>
          <t>Euro Cylinder with 3 keys - 30/50mm</t>
        </is>
      </c>
      <c r="C225" s="79" t="inlineStr">
        <is>
          <t>st</t>
        </is>
      </c>
      <c r="D225">
        <f>_xlfn.XLOOKUP(A225,Price!A:A,Price!C:C,0,0)</f>
        <v/>
      </c>
      <c r="E225">
        <f>_xlfn.XLOOKUP(A225,Montage!A:A,Montage!C:C,0,0)+IF(Calc!$D$18=1,_xlfn.XLOOKUP(A225,Montage!A:A,Montage!D:D,0,0),0)</f>
        <v/>
      </c>
    </row>
    <row r="226">
      <c r="A226" s="79" t="inlineStr">
        <is>
          <t>30.03.03.0027</t>
        </is>
      </c>
      <c r="B226" s="79" t="inlineStr">
        <is>
          <t>Plug - 107VS VM 12 - RAL7035 - OBO 2029517</t>
        </is>
      </c>
      <c r="C226" s="79" t="inlineStr">
        <is>
          <t>st</t>
        </is>
      </c>
      <c r="D226">
        <f>_xlfn.XLOOKUP(A226,Price!A:A,Price!C:C,0,0)</f>
        <v/>
      </c>
      <c r="E226">
        <f>_xlfn.XLOOKUP(A226,Montage!A:A,Montage!C:C,0,0)+IF(Calc!$D$18=1,_xlfn.XLOOKUP(A226,Montage!A:A,Montage!D:D,0,0),0)</f>
        <v/>
      </c>
    </row>
    <row r="227">
      <c r="A227" s="79" t="inlineStr">
        <is>
          <t>30.04.04.0002</t>
        </is>
      </c>
      <c r="B227" s="79" t="inlineStr">
        <is>
          <t>Conduit coupler 20mm - Straight - RAL7035 - Helia 34623</t>
        </is>
      </c>
      <c r="C227" s="79" t="inlineStr">
        <is>
          <t>st</t>
        </is>
      </c>
      <c r="D227">
        <f>_xlfn.XLOOKUP(A227,Price!A:A,Price!C:C,0,0)</f>
        <v/>
      </c>
      <c r="E227">
        <f>_xlfn.XLOOKUP(A227,Montage!A:A,Montage!C:C,0,0)+IF(Calc!$D$18=1,_xlfn.XLOOKUP(A227,Montage!A:A,Montage!D:D,0,0),0)</f>
        <v/>
      </c>
    </row>
    <row r="228">
      <c r="A228" s="79" t="inlineStr">
        <is>
          <t>30.04.03.0004</t>
        </is>
      </c>
      <c r="B228" s="79" t="inlineStr">
        <is>
          <t>Conduit end cap 20mm - RAL7035 - Helia 34523</t>
        </is>
      </c>
      <c r="C228" s="79" t="inlineStr">
        <is>
          <t>st</t>
        </is>
      </c>
      <c r="D228">
        <f>_xlfn.XLOOKUP(A228,Price!A:A,Price!C:C,0,0)</f>
        <v/>
      </c>
      <c r="E228">
        <f>_xlfn.XLOOKUP(A228,Montage!A:A,Montage!C:C,0,0)+IF(Calc!$D$18=1,_xlfn.XLOOKUP(A228,Montage!A:A,Montage!D:D,0,0),0)</f>
        <v/>
      </c>
    </row>
    <row r="229">
      <c r="A229" s="79" t="inlineStr">
        <is>
          <t>30.04.02.0008</t>
        </is>
      </c>
      <c r="B229" s="79" t="inlineStr">
        <is>
          <t>Conduit clip - M6 19-22 - RAL7035 - OBO 2140233</t>
        </is>
      </c>
      <c r="C229" s="79" t="inlineStr">
        <is>
          <t>st</t>
        </is>
      </c>
      <c r="D229">
        <f>_xlfn.XLOOKUP(A229,Price!A:A,Price!C:C,0,0)</f>
        <v/>
      </c>
      <c r="E229">
        <f>_xlfn.XLOOKUP(A229,Montage!A:A,Montage!C:C,0,0)+IF(Calc!$D$18=1,_xlfn.XLOOKUP(A229,Montage!A:A,Montage!D:D,0,0),0)</f>
        <v/>
      </c>
    </row>
    <row r="230">
      <c r="A230" s="79" t="inlineStr">
        <is>
          <t>15.06.05.0011</t>
        </is>
      </c>
      <c r="B230" s="79" t="inlineStr">
        <is>
          <t>Self-drilling screw - DIN7504M-H - 4,2x25</t>
        </is>
      </c>
      <c r="C230" s="79" t="inlineStr">
        <is>
          <t>st</t>
        </is>
      </c>
      <c r="D230">
        <f>_xlfn.XLOOKUP(A230,Price!A:A,Price!C:C,0,0)</f>
        <v/>
      </c>
      <c r="E230">
        <f>_xlfn.XLOOKUP(A230,Montage!A:A,Montage!C:C,0,0)+IF(Calc!$D$18=1,_xlfn.XLOOKUP(A230,Montage!A:A,Montage!D:D,0,0),0)</f>
        <v/>
      </c>
    </row>
    <row r="231">
      <c r="A231" t="inlineStr">
        <is>
          <t>18.01.18.0001</t>
        </is>
      </c>
      <c r="B231" t="inlineStr">
        <is>
          <t>Anchor rod - Zinc plated M12x160-5.8 - Würth W-VD-A/S</t>
        </is>
      </c>
      <c r="C231" s="79" t="inlineStr">
        <is>
          <t>st</t>
        </is>
      </c>
      <c r="D231">
        <f>_xlfn.XLOOKUP(A231,Price!A:A,Price!C:C,0,0)</f>
        <v/>
      </c>
      <c r="E231">
        <f>_xlfn.XLOOKUP(A231,Montage!A:A,Montage!C:C,0,0)+IF(Calc!$D$18=1,_xlfn.XLOOKUP(A231,Montage!A:A,Montage!D:D,0,0),0)</f>
        <v/>
      </c>
    </row>
    <row r="232">
      <c r="A232" t="inlineStr">
        <is>
          <t>18.03.03.0001</t>
        </is>
      </c>
      <c r="B232" t="inlineStr">
        <is>
          <t>Chemical anchor - capsule M12x95 - Würth W-VPZ 12</t>
        </is>
      </c>
      <c r="C232" s="79" t="inlineStr">
        <is>
          <t>st</t>
        </is>
      </c>
      <c r="D232">
        <f>_xlfn.XLOOKUP(A232,Price!A:A,Price!C:C,0,0)</f>
        <v/>
      </c>
      <c r="E232">
        <f>_xlfn.XLOOKUP(A232,Montage!A:A,Montage!C:C,0,0)+IF(Calc!$D$18=1,_xlfn.XLOOKUP(A232,Montage!A:A,Montage!D:D,0,0),0)</f>
        <v/>
      </c>
    </row>
    <row r="239">
      <c r="A239" s="79" t="n"/>
      <c r="B239" s="79" t="n"/>
    </row>
    <row r="240">
      <c r="A240" s="79" t="n"/>
      <c r="B240" s="79" t="n"/>
    </row>
    <row r="241">
      <c r="A241" s="79" t="n"/>
      <c r="B241" s="79" t="n"/>
    </row>
    <row r="242">
      <c r="A242" s="79" t="n"/>
      <c r="B242" s="79" t="n"/>
    </row>
  </sheetData>
  <conditionalFormatting sqref="D2:D232">
    <cfRule type="cellIs" priority="3" operator="equal" dxfId="2">
      <formula>0</formula>
    </cfRule>
  </conditionalFormatting>
  <conditionalFormatting sqref="D2:E232">
    <cfRule type="cellIs" priority="1" operator="greaterThan" dxfId="1">
      <formula>0</formula>
    </cfRule>
  </conditionalFormatting>
  <conditionalFormatting sqref="E2:E232">
    <cfRule type="cellIs" priority="2" operator="equal" dxfId="0">
      <formula>0</formula>
    </cfRule>
  </conditionalFormatting>
  <pageMargins left="0.7" right="0.7" top="0.75" bottom="0.75" header="0.3" footer="0.3"/>
  <pageSetup orientation="portrait" paperSize="9" horizontalDpi="0" verticalDpi="0"/>
</worksheet>
</file>

<file path=xl/worksheets/sheet8.xml><?xml version="1.0" encoding="utf-8"?>
<worksheet xmlns="http://schemas.openxmlformats.org/spreadsheetml/2006/main">
  <sheetPr>
    <outlinePr summaryBelow="1" summaryRight="1"/>
    <pageSetUpPr/>
  </sheetPr>
  <dimension ref="A1:K220"/>
  <sheetViews>
    <sheetView topLeftCell="A235" workbookViewId="0">
      <selection activeCell="A1" sqref="A1"/>
    </sheetView>
  </sheetViews>
  <sheetFormatPr baseColWidth="8" defaultColWidth="9.140625" defaultRowHeight="15"/>
  <cols>
    <col width="12.7109375" bestFit="1" customWidth="1" style="79" min="1" max="1"/>
    <col width="71.42578125" bestFit="1" customWidth="1" style="79" min="2" max="2"/>
    <col width="11.28515625" bestFit="1" customWidth="1" style="96" min="3" max="3"/>
    <col width="9.140625" customWidth="1" style="79" min="4" max="16384"/>
  </cols>
  <sheetData>
    <row r="1">
      <c r="A1" s="83" t="inlineStr">
        <is>
          <t>CODE</t>
        </is>
      </c>
      <c r="B1" s="83" t="inlineStr">
        <is>
          <t>DESCR</t>
        </is>
      </c>
      <c r="C1" s="95" t="inlineStr">
        <is>
          <t>PRICE (EUR)</t>
        </is>
      </c>
    </row>
    <row r="2">
      <c r="A2" s="79" t="inlineStr">
        <is>
          <t>43.13.07.0011</t>
        </is>
      </c>
      <c r="B2" s="79" t="inlineStr">
        <is>
          <t>Domino - Beam - 120x60x3 - L1890 - 8Ø13 - Galvanized</t>
        </is>
      </c>
      <c r="C2" s="96" t="n">
        <v>83.88</v>
      </c>
    </row>
    <row r="3">
      <c r="A3" s="79" t="inlineStr">
        <is>
          <t>43.13.07.0013</t>
        </is>
      </c>
      <c r="B3" s="79" t="inlineStr">
        <is>
          <t>Domino - Beam - 120x60x3 - L1890 - 8Ø13 - Powder Coated</t>
        </is>
      </c>
      <c r="C3" s="96" t="n">
        <v>127.27</v>
      </c>
    </row>
    <row r="4">
      <c r="A4" s="79" t="inlineStr">
        <is>
          <t>43.13.07.0004</t>
        </is>
      </c>
      <c r="B4" s="79" t="inlineStr">
        <is>
          <t>Domino - Beam - 120x60x3 - L2098 - 2Ø13 - Galvanized</t>
        </is>
      </c>
      <c r="C4" s="96" t="n">
        <v>98.34999999999999</v>
      </c>
    </row>
    <row r="5">
      <c r="A5" s="79" t="inlineStr">
        <is>
          <t>43.13.07.0008</t>
        </is>
      </c>
      <c r="B5" s="79" t="inlineStr">
        <is>
          <t>Domino - Beam - 120x60x3 - L2098 - 2Ø13 - Powder Coated</t>
        </is>
      </c>
      <c r="C5" s="96" t="n">
        <v>146.36</v>
      </c>
    </row>
    <row r="6">
      <c r="A6" s="79" t="inlineStr">
        <is>
          <t>43.13.07.0012</t>
        </is>
      </c>
      <c r="B6" s="79" t="inlineStr">
        <is>
          <t>Domino - Beam - 120x60x3 - L2390 - 8Ø13 - Galvanized</t>
        </is>
      </c>
      <c r="C6" s="96" t="n">
        <v>100.12</v>
      </c>
    </row>
    <row r="7">
      <c r="A7" s="79" t="inlineStr">
        <is>
          <t>43.13.07.0014</t>
        </is>
      </c>
      <c r="B7" s="79" t="inlineStr">
        <is>
          <t>Domino - Beam - 120x60x3 - L2390 - 8Ø13 - Powder Coated</t>
        </is>
      </c>
      <c r="C7" s="96" t="n">
        <v>155.62</v>
      </c>
    </row>
    <row r="8">
      <c r="A8" s="79" t="inlineStr">
        <is>
          <t>43.13.07.0015</t>
        </is>
      </c>
      <c r="B8" s="79" t="inlineStr">
        <is>
          <t>Domino - Beam - 120x60x3 - L2598 - 2Ø13 - Galvanized</t>
        </is>
      </c>
      <c r="C8" s="96" t="n">
        <v>164.58</v>
      </c>
    </row>
    <row r="9">
      <c r="A9" s="79" t="inlineStr">
        <is>
          <t>43.13.07.0016</t>
        </is>
      </c>
      <c r="B9" s="79" t="inlineStr">
        <is>
          <t>Domino - Beam - 120x60x3 - L2598 - 2Ø13 - Powder Coated</t>
        </is>
      </c>
      <c r="C9" s="96" t="n">
        <v>225.07</v>
      </c>
    </row>
    <row r="10">
      <c r="A10" s="79" t="inlineStr">
        <is>
          <t>43.13.07.0001</t>
        </is>
      </c>
      <c r="B10" s="79" t="inlineStr">
        <is>
          <t>Domino - Beam - 120x60x3 - L3920 - 8Ø13 - Galvanized</t>
        </is>
      </c>
      <c r="C10" s="96" t="n">
        <v>194.69</v>
      </c>
    </row>
    <row r="11">
      <c r="A11" s="79" t="inlineStr">
        <is>
          <t>43.13.07.0005</t>
        </is>
      </c>
      <c r="B11" s="79" t="inlineStr">
        <is>
          <t>Domino - Beam - 120x60x3 - L3920 - 8Ø13 - Powder Coated</t>
        </is>
      </c>
      <c r="C11" s="96" t="n">
        <v>281.26</v>
      </c>
    </row>
    <row r="12">
      <c r="A12" s="79" t="inlineStr">
        <is>
          <t>43.13.07.0002</t>
        </is>
      </c>
      <c r="B12" s="79" t="inlineStr">
        <is>
          <t>Domino - Beam - 120x60x3 - L4920 - 8Ø13 - Galvanized</t>
        </is>
      </c>
      <c r="C12" s="96" t="n">
        <v>209.17</v>
      </c>
    </row>
    <row r="13">
      <c r="A13" s="79" t="inlineStr">
        <is>
          <t>43.13.07.0006</t>
        </is>
      </c>
      <c r="B13" s="79" t="inlineStr">
        <is>
          <t>Domino - Beam - 120x60x3 - L4920 - 8Ø13 - Powder Coated</t>
        </is>
      </c>
      <c r="C13" s="96" t="n">
        <v>318.49</v>
      </c>
    </row>
    <row r="14">
      <c r="A14" s="79" t="inlineStr">
        <is>
          <t>43.13.07.0003</t>
        </is>
      </c>
      <c r="B14" s="79" t="inlineStr">
        <is>
          <t>Domino - Beam - 120x60x3 - L5950 - 8Ø13 - Galvanized</t>
        </is>
      </c>
      <c r="C14" s="96" t="n">
        <v>236.49</v>
      </c>
    </row>
    <row r="15">
      <c r="A15" s="79" t="inlineStr">
        <is>
          <t>43.13.07.0007</t>
        </is>
      </c>
      <c r="B15" s="79" t="inlineStr">
        <is>
          <t>Domino - Beam - 120x60x3 - L5950 - 8Ø13 - Powder Coated</t>
        </is>
      </c>
      <c r="C15" s="96" t="n">
        <v>369.17</v>
      </c>
    </row>
    <row r="16">
      <c r="A16" s="79" t="inlineStr">
        <is>
          <t>43.09.06.0015</t>
        </is>
      </c>
      <c r="B16" s="79" t="inlineStr">
        <is>
          <t>Domino - Beam Connector - Bracket - Galvanized</t>
        </is>
      </c>
      <c r="C16" s="96" t="n">
        <v>10.34</v>
      </c>
    </row>
    <row r="17">
      <c r="A17" s="79" t="inlineStr">
        <is>
          <t>43.09.06.0016</t>
        </is>
      </c>
      <c r="B17" s="79" t="inlineStr">
        <is>
          <t>Domino - Beam Connector - Bracket - Powder Coated</t>
        </is>
      </c>
      <c r="C17" s="96" t="n">
        <v>10.18</v>
      </c>
    </row>
    <row r="18">
      <c r="A18" s="79" t="inlineStr">
        <is>
          <t>43.09.06.0011</t>
        </is>
      </c>
      <c r="B18" s="79" t="inlineStr">
        <is>
          <t>Domino - Beam Connector - L-Profile - Galvanized</t>
        </is>
      </c>
      <c r="C18" s="96" t="n">
        <v>16.88</v>
      </c>
    </row>
    <row r="19">
      <c r="A19" s="79" t="inlineStr">
        <is>
          <t>43.09.06.0013</t>
        </is>
      </c>
      <c r="B19" s="79" t="inlineStr">
        <is>
          <t>Domino - Beam Connector - L-Profile - Powder Coated</t>
        </is>
      </c>
      <c r="C19" s="96" t="n">
        <v>19.7</v>
      </c>
    </row>
    <row r="20">
      <c r="A20" s="79" t="inlineStr">
        <is>
          <t>43.07.18.0009</t>
        </is>
      </c>
      <c r="B20" s="79" t="inlineStr">
        <is>
          <t>Domino - Brace - 50x2 - L3065 - Galvanized</t>
        </is>
      </c>
      <c r="C20" s="96" t="n">
        <v>80.64</v>
      </c>
    </row>
    <row r="21">
      <c r="A21" s="79" t="inlineStr">
        <is>
          <t>43.07.18.0011</t>
        </is>
      </c>
      <c r="B21" s="79" t="inlineStr">
        <is>
          <t>Domino - Brace - 50x2 - L3065 - Powder Coated</t>
        </is>
      </c>
      <c r="C21" s="96" t="n">
        <v>119.15</v>
      </c>
    </row>
    <row r="22">
      <c r="A22" s="79" t="inlineStr">
        <is>
          <t>43.07.18.0010</t>
        </is>
      </c>
      <c r="B22" s="79" t="inlineStr">
        <is>
          <t>Domino - Brace - 50x2 - L3399 - Galvanized</t>
        </is>
      </c>
      <c r="C22" s="96" t="n">
        <v>102.54</v>
      </c>
    </row>
    <row r="23">
      <c r="A23" s="79" t="inlineStr">
        <is>
          <t>43.07.18.0012</t>
        </is>
      </c>
      <c r="B23" s="79" t="inlineStr">
        <is>
          <t>Domino - Brace - 50x2 - L3399 - Powder Coated</t>
        </is>
      </c>
      <c r="C23" s="96" t="n">
        <v>145.21</v>
      </c>
    </row>
    <row r="24">
      <c r="A24" s="79" t="inlineStr">
        <is>
          <t>43.07.18.0015</t>
        </is>
      </c>
      <c r="B24" s="79" t="inlineStr">
        <is>
          <t>Domino - Brace - Flat 50x5 - L2262 - Galvanized</t>
        </is>
      </c>
      <c r="C24" s="96" t="n">
        <v>36.76</v>
      </c>
    </row>
    <row r="25">
      <c r="A25" s="79" t="inlineStr">
        <is>
          <t>43.07.18.0016</t>
        </is>
      </c>
      <c r="B25" s="79" t="inlineStr">
        <is>
          <t>Domino - Brace - Flat 50x5 - L2699 - Galvanized</t>
        </is>
      </c>
      <c r="C25" s="96" t="n">
        <v>38.57</v>
      </c>
    </row>
    <row r="26">
      <c r="A26" s="79" t="inlineStr">
        <is>
          <t>43.07.18.0017</t>
        </is>
      </c>
      <c r="B26" s="79" t="inlineStr">
        <is>
          <t>Domino - Brace - Flat 50x5 - L2262 - Powder Coated</t>
        </is>
      </c>
      <c r="C26" s="96" t="n">
        <v>49.09</v>
      </c>
    </row>
    <row r="27">
      <c r="A27" s="79" t="inlineStr">
        <is>
          <t>43.07.18.0018</t>
        </is>
      </c>
      <c r="B27" s="79" t="inlineStr">
        <is>
          <t>Domino - Brace - Flat 50x5 - L2699 - Powder Coated</t>
        </is>
      </c>
      <c r="C27" s="96" t="n">
        <v>53.75</v>
      </c>
    </row>
    <row r="28">
      <c r="A28" s="79" t="inlineStr">
        <is>
          <t>43.09.06.0017</t>
        </is>
      </c>
      <c r="B28" s="79" t="inlineStr">
        <is>
          <t>Domino - Brace Connector - Galvanized</t>
        </is>
      </c>
      <c r="C28" s="96" t="n">
        <v>20.1</v>
      </c>
    </row>
    <row r="29">
      <c r="A29" s="79" t="inlineStr">
        <is>
          <t>43.09.06.0018</t>
        </is>
      </c>
      <c r="B29" s="79" t="inlineStr">
        <is>
          <t>Domino - Brace Connector - Powder Coated</t>
        </is>
      </c>
      <c r="C29" s="96" t="n">
        <v>18.83</v>
      </c>
    </row>
    <row r="30">
      <c r="A30" s="79" t="inlineStr">
        <is>
          <t>43.06.14.0043</t>
        </is>
      </c>
      <c r="B30" s="79" t="inlineStr">
        <is>
          <t>Domino - Column - 80x3 - L2175 - 8Ø13 - 8Ø9 - Galvanized</t>
        </is>
      </c>
      <c r="C30" s="96" t="n">
        <v>89.34</v>
      </c>
    </row>
    <row r="31">
      <c r="A31" s="79" t="inlineStr">
        <is>
          <t>43.06.14.0047</t>
        </is>
      </c>
      <c r="B31" s="79" t="inlineStr">
        <is>
          <t>Domino - Column - 80x3 - L2175 - 8Ø13 - 8Ø9 - Powder Coated</t>
        </is>
      </c>
      <c r="C31" s="96" t="n">
        <v>133.43</v>
      </c>
    </row>
    <row r="32">
      <c r="A32" s="79" t="inlineStr">
        <is>
          <t>43.06.14.0041</t>
        </is>
      </c>
      <c r="B32" s="79" t="inlineStr">
        <is>
          <t>Domino - Column - 80x3 - L2175 - 8Ø13 - Galvanized</t>
        </is>
      </c>
      <c r="C32" s="96" t="n">
        <v>89.40000000000001</v>
      </c>
    </row>
    <row r="33">
      <c r="A33" s="79" t="inlineStr">
        <is>
          <t>43.06.14.0045</t>
        </is>
      </c>
      <c r="B33" s="79" t="inlineStr">
        <is>
          <t>Domino - Column - 80x3 - L2175 - 8Ø13 - Powder Coated</t>
        </is>
      </c>
      <c r="C33" s="96" t="n">
        <v>133.49</v>
      </c>
    </row>
    <row r="34">
      <c r="A34" s="79" t="inlineStr">
        <is>
          <t>43.06.14.0044</t>
        </is>
      </c>
      <c r="B34" s="79" t="inlineStr">
        <is>
          <t>Domino - Column - 80x3 - L2825 - 8Ø13 - 16Ø9 - Galvanized</t>
        </is>
      </c>
      <c r="C34" s="96" t="n">
        <v>104.57</v>
      </c>
    </row>
    <row r="35">
      <c r="A35" s="79" t="inlineStr">
        <is>
          <t>43.06.14.0048</t>
        </is>
      </c>
      <c r="B35" s="79" t="inlineStr">
        <is>
          <t>Domino - Column - 80x3 - L2825 - 8Ø13 - 16Ø9 - Powder Coated</t>
        </is>
      </c>
      <c r="C35" s="96" t="n">
        <v>162.56</v>
      </c>
    </row>
    <row r="36">
      <c r="A36" s="79" t="inlineStr">
        <is>
          <t>43.06.14.0042</t>
        </is>
      </c>
      <c r="B36" s="79" t="inlineStr">
        <is>
          <t>Domino - Column - 80x3 - L2825 - 8Ø13 - Galvanized</t>
        </is>
      </c>
      <c r="C36" s="96" t="n">
        <v>98.22</v>
      </c>
    </row>
    <row r="37">
      <c r="A37" s="79" t="inlineStr">
        <is>
          <t>43.06.14.0046</t>
        </is>
      </c>
      <c r="B37" s="79" t="inlineStr">
        <is>
          <t>Domino - Column - 80x3 - L2825 - 8Ø13 - Powder Coated</t>
        </is>
      </c>
      <c r="C37" s="96" t="n">
        <v>156.22</v>
      </c>
    </row>
    <row r="38">
      <c r="A38" s="79" t="inlineStr">
        <is>
          <t>43.03.10.0002</t>
        </is>
      </c>
      <c r="B38" s="79" t="inlineStr">
        <is>
          <t>Domino - Foot - 70x4 - L605 - Galvanized</t>
        </is>
      </c>
      <c r="C38" s="96" t="n">
        <v>49.6</v>
      </c>
    </row>
    <row r="39">
      <c r="A39" s="79" t="inlineStr">
        <is>
          <t>43.03.10.0001</t>
        </is>
      </c>
      <c r="B39" s="79" t="inlineStr">
        <is>
          <t>Domino - Foot - 70x4 - L605 - Outflow - Galvanized</t>
        </is>
      </c>
      <c r="C39" s="96" t="n">
        <v>56.35</v>
      </c>
    </row>
    <row r="40">
      <c r="A40" s="79" t="inlineStr">
        <is>
          <t>43.03.10.0004</t>
        </is>
      </c>
      <c r="B40" s="79" t="inlineStr">
        <is>
          <t>Domino - Foot - 70x4 - L605 - Outflow - Powder Coated</t>
        </is>
      </c>
      <c r="C40" s="96" t="n">
        <v>69.33</v>
      </c>
    </row>
    <row r="41">
      <c r="A41" s="79" t="inlineStr">
        <is>
          <t>43.03.10.0005</t>
        </is>
      </c>
      <c r="B41" s="79" t="inlineStr">
        <is>
          <t>Domino - Foot - 70x4 - L605 - Powder Coated</t>
        </is>
      </c>
      <c r="C41" s="96" t="n">
        <v>62.58</v>
      </c>
    </row>
    <row r="42">
      <c r="A42" s="79" t="inlineStr">
        <is>
          <t>43.03.10.0003</t>
        </is>
      </c>
      <c r="B42" s="79" t="inlineStr">
        <is>
          <t>Domino - Foot 70x50x3 - L600 - Galvanized</t>
        </is>
      </c>
      <c r="C42" s="96" t="n">
        <v>27.36</v>
      </c>
    </row>
    <row r="43">
      <c r="A43" s="79" t="inlineStr">
        <is>
          <t>43.03.10.0006</t>
        </is>
      </c>
      <c r="B43" s="79" t="inlineStr">
        <is>
          <t>Domino - Foot 70x50x3 - L600 - Powder coated</t>
        </is>
      </c>
      <c r="C43" s="96" t="n">
        <v>35.59</v>
      </c>
    </row>
    <row r="44">
      <c r="A44" s="79" t="inlineStr">
        <is>
          <t>44.02.06.0005</t>
        </is>
      </c>
      <c r="B44" s="79" t="inlineStr">
        <is>
          <t>Domino - Girder - 50x2 - L1948 - 6Ø13 - 6M10 - Galvanized</t>
        </is>
      </c>
      <c r="C44" s="96" t="n">
        <v>39.71</v>
      </c>
    </row>
    <row r="45">
      <c r="A45" s="79" t="inlineStr">
        <is>
          <t>44.02.06.0009</t>
        </is>
      </c>
      <c r="B45" s="79" t="inlineStr">
        <is>
          <t>Domino - Girder - 50x2 - L1948 - 6Ø13 - 6M10 - Powder Coated</t>
        </is>
      </c>
      <c r="C45" s="96" t="n">
        <v>60.33</v>
      </c>
    </row>
    <row r="46">
      <c r="A46" s="79" t="inlineStr">
        <is>
          <t>44.02.06.0006</t>
        </is>
      </c>
      <c r="B46" s="79" t="inlineStr">
        <is>
          <t>Domino - Girder - 50x2 - L2448 - 6Ø13 - 6M10 - Galvanized</t>
        </is>
      </c>
      <c r="C46" s="96" t="n">
        <v>68.95999999999999</v>
      </c>
    </row>
    <row r="47">
      <c r="A47" s="79" t="inlineStr">
        <is>
          <t>44.02.06.0010</t>
        </is>
      </c>
      <c r="B47" s="79" t="inlineStr">
        <is>
          <t>Domino - Girder - 50x2 - L2448 - 6Ø13 - 6M10 - Powder Coated</t>
        </is>
      </c>
      <c r="C47" s="96" t="n">
        <v>99.16</v>
      </c>
    </row>
    <row r="48">
      <c r="A48" s="79" t="inlineStr">
        <is>
          <t>44.02.06.0029</t>
        </is>
      </c>
      <c r="B48" s="79" t="inlineStr">
        <is>
          <t>Domino - Girder - 50x2 - L293mm - 2Ø13 - 2M10 - Galvanized</t>
        </is>
      </c>
      <c r="C48" s="96" t="n">
        <v>12.75</v>
      </c>
    </row>
    <row r="49">
      <c r="A49" s="79" t="inlineStr">
        <is>
          <t>44.02.06.0030</t>
        </is>
      </c>
      <c r="B49" s="79" t="inlineStr">
        <is>
          <t>Domino - Girder - 50x2 - L543mm - 2Ø13 - 2M10 - Galvanized</t>
        </is>
      </c>
      <c r="C49" s="96" t="n">
        <v>16.14</v>
      </c>
    </row>
    <row r="50">
      <c r="A50" s="79" t="inlineStr">
        <is>
          <t>44.02.06.0031</t>
        </is>
      </c>
      <c r="B50" s="79" t="inlineStr">
        <is>
          <t>Domino - Girder - 50x2 - L293mm - 2Ø13 - 2M10 - Powder coated</t>
        </is>
      </c>
      <c r="C50" s="96" t="n">
        <v>19.28</v>
      </c>
    </row>
    <row r="51">
      <c r="A51" s="79" t="inlineStr">
        <is>
          <t>44.02.06.0032</t>
        </is>
      </c>
      <c r="B51" s="79" t="inlineStr">
        <is>
          <t>Domino - Girder - 50x2 - L543mm - 2Ø13 - 2M10 - Powder coated</t>
        </is>
      </c>
      <c r="C51" s="96" t="n">
        <v>29.77</v>
      </c>
    </row>
    <row r="52">
      <c r="A52" s="79" t="inlineStr">
        <is>
          <t>37.60.06.0061</t>
        </is>
      </c>
      <c r="B52" s="79" t="inlineStr">
        <is>
          <t>Domino - Gutter G - L1890 - 6Ø13 - Cut 3 - Galvanized</t>
        </is>
      </c>
      <c r="C52" s="96" t="n">
        <v>121.83</v>
      </c>
    </row>
    <row r="53">
      <c r="A53" s="79" t="inlineStr">
        <is>
          <t>43.08.18.0011</t>
        </is>
      </c>
      <c r="B53" s="79" t="inlineStr">
        <is>
          <t>Domino - Gutter G - L1890 - 6Ø13 - Cut 3 - Powder Coated</t>
        </is>
      </c>
      <c r="C53" s="96" t="n">
        <v>202.58</v>
      </c>
    </row>
    <row r="54">
      <c r="A54" s="79" t="inlineStr">
        <is>
          <t>37.60.06.0160</t>
        </is>
      </c>
      <c r="B54" s="79" t="inlineStr">
        <is>
          <t>Domino - Gutter G - L1890 - 7Ø13 - Galvanized</t>
        </is>
      </c>
      <c r="C54" s="96" t="n">
        <v>110.02</v>
      </c>
    </row>
    <row r="55">
      <c r="A55" s="79" t="inlineStr">
        <is>
          <t>43.08.18.0021</t>
        </is>
      </c>
      <c r="B55" s="79" t="inlineStr">
        <is>
          <t>Domino - Gutter G - L1890 - 7Ø13 - Powder Coated</t>
        </is>
      </c>
      <c r="C55" s="96" t="n">
        <v>191.62</v>
      </c>
    </row>
    <row r="56">
      <c r="A56" s="79" t="inlineStr">
        <is>
          <t>37.60.06.0161</t>
        </is>
      </c>
      <c r="B56" s="79" t="inlineStr">
        <is>
          <t>Domino - Gutter G - L2390 - 6Ø13 - Cut 3 - Galvanized</t>
        </is>
      </c>
      <c r="C56" s="96" t="n">
        <v>137</v>
      </c>
    </row>
    <row r="57">
      <c r="A57" s="79" t="inlineStr">
        <is>
          <t>43.08.18.0022</t>
        </is>
      </c>
      <c r="B57" s="79" t="inlineStr">
        <is>
          <t>Domino - Gutter G - L2390 - 6Ø13 - Cut 3 - Powder Coated</t>
        </is>
      </c>
      <c r="C57" s="96" t="n">
        <v>239.35</v>
      </c>
    </row>
    <row r="58">
      <c r="A58" s="79" t="inlineStr">
        <is>
          <t>37.60.06.0162</t>
        </is>
      </c>
      <c r="B58" s="79" t="inlineStr">
        <is>
          <t>Domino - Gutter G - L2390 - 7Ø13 - Galvanized</t>
        </is>
      </c>
      <c r="C58" s="96" t="n">
        <v>130.7</v>
      </c>
    </row>
    <row r="59">
      <c r="A59" s="79" t="inlineStr">
        <is>
          <t>43.08.18.0023</t>
        </is>
      </c>
      <c r="B59" s="79" t="inlineStr">
        <is>
          <t>Domino - Gutter G - L2390 - 7Ø13 - Powder Coated</t>
        </is>
      </c>
      <c r="C59" s="96" t="n">
        <v>233.86</v>
      </c>
    </row>
    <row r="60">
      <c r="A60" s="79" t="inlineStr">
        <is>
          <t>37.60.06.0058</t>
        </is>
      </c>
      <c r="B60" s="79" t="inlineStr">
        <is>
          <t>Domino - Gutter G - L3920 - 9Ø13 - Galvanized</t>
        </is>
      </c>
      <c r="C60" s="96" t="n">
        <v>172.76</v>
      </c>
    </row>
    <row r="61">
      <c r="A61" s="79" t="inlineStr">
        <is>
          <t>43.08.18.0008</t>
        </is>
      </c>
      <c r="B61" s="79" t="inlineStr">
        <is>
          <t>Domino - Gutter G - L3920 - 9Ø13 - Powder Coated</t>
        </is>
      </c>
      <c r="C61" s="96" t="n">
        <v>341.85</v>
      </c>
    </row>
    <row r="62">
      <c r="A62" s="79" t="inlineStr">
        <is>
          <t>37.60.06.0059</t>
        </is>
      </c>
      <c r="B62" s="79" t="inlineStr">
        <is>
          <t>Domino - Gutter G - L4920 - 9Ø13 - Galvanized</t>
        </is>
      </c>
      <c r="C62" s="96" t="n">
        <v>239.35</v>
      </c>
    </row>
    <row r="63">
      <c r="A63" s="79" t="inlineStr">
        <is>
          <t>43.08.18.0009</t>
        </is>
      </c>
      <c r="B63" s="79" t="inlineStr">
        <is>
          <t>Domino - Gutter G - L4920 - 9Ø13 - Powder Coated</t>
        </is>
      </c>
      <c r="C63" s="96" t="n">
        <v>451.59</v>
      </c>
    </row>
    <row r="64">
      <c r="A64" s="79" t="inlineStr">
        <is>
          <t>37.60.06.0060</t>
        </is>
      </c>
      <c r="B64" s="79" t="inlineStr">
        <is>
          <t>Domino - Gutter G - L5950 - 10Ø13 - Galvanized</t>
        </is>
      </c>
      <c r="C64" s="96" t="n">
        <v>274.91</v>
      </c>
    </row>
    <row r="65">
      <c r="A65" s="79" t="inlineStr">
        <is>
          <t>43.08.18.0010</t>
        </is>
      </c>
      <c r="B65" s="79" t="inlineStr">
        <is>
          <t>Domino - Gutter G - L5950 - 10Ø13 - Powder Coated</t>
        </is>
      </c>
      <c r="C65" s="96" t="n">
        <v>531.58</v>
      </c>
    </row>
    <row r="66">
      <c r="A66" s="79" t="inlineStr">
        <is>
          <t>37.60.06.0163</t>
        </is>
      </c>
      <c r="B66" s="79" t="inlineStr">
        <is>
          <t>Domino - Gutter U - L1890 - 4Ø13 - Galvanized</t>
        </is>
      </c>
      <c r="C66" s="96" t="n">
        <v>106.67</v>
      </c>
    </row>
    <row r="67">
      <c r="A67" s="79" t="inlineStr">
        <is>
          <t>43.08.18.0024</t>
        </is>
      </c>
      <c r="B67" s="79" t="inlineStr">
        <is>
          <t>Domino - Gutter U - L1890 - 4Ø13 - Powder Coated</t>
        </is>
      </c>
      <c r="C67" s="96" t="n">
        <v>189.12</v>
      </c>
    </row>
    <row r="68">
      <c r="A68" s="79" t="inlineStr">
        <is>
          <t>37.60.06.0164</t>
        </is>
      </c>
      <c r="B68" s="79" t="inlineStr">
        <is>
          <t>Domino - Gutter U - L2390 - 4Ø13 - Galvanized</t>
        </is>
      </c>
      <c r="C68" s="96" t="n">
        <v>122.66</v>
      </c>
    </row>
    <row r="69">
      <c r="A69" s="79" t="inlineStr">
        <is>
          <t>43.08.18.0025</t>
        </is>
      </c>
      <c r="B69" s="79" t="inlineStr">
        <is>
          <t>Domino - Gutter U - L2390 - 4Ø13 - Powder Coated</t>
        </is>
      </c>
      <c r="C69" s="96" t="n">
        <v>226.93</v>
      </c>
    </row>
    <row r="70">
      <c r="A70" s="79" t="inlineStr">
        <is>
          <t>37.60.06.0165</t>
        </is>
      </c>
      <c r="B70" s="79" t="inlineStr">
        <is>
          <t>Domino - Gutter U - L3920 - 5Ø13 - Galvanized</t>
        </is>
      </c>
      <c r="C70" s="96" t="n">
        <v>197.22</v>
      </c>
    </row>
    <row r="71">
      <c r="A71" s="79" t="inlineStr">
        <is>
          <t>43.08.18.0026</t>
        </is>
      </c>
      <c r="B71" s="79" t="inlineStr">
        <is>
          <t>Domino - Gutter U - L3920 - 5Ø13 - Powder Coated</t>
        </is>
      </c>
      <c r="C71" s="96" t="n">
        <v>368.14</v>
      </c>
    </row>
    <row r="72">
      <c r="A72" s="79" t="inlineStr">
        <is>
          <t>37.60.06.0166</t>
        </is>
      </c>
      <c r="B72" s="79" t="inlineStr">
        <is>
          <t>Domino - Gutter U - L4920 - 5Ø13 - Galvanized</t>
        </is>
      </c>
      <c r="C72" s="96" t="n">
        <v>229.2</v>
      </c>
    </row>
    <row r="73">
      <c r="A73" s="79" t="inlineStr">
        <is>
          <t>43.08.18.0027</t>
        </is>
      </c>
      <c r="B73" s="79" t="inlineStr">
        <is>
          <t>Domino - Gutter U - L4920 - 5Ø13 - Powder Coated</t>
        </is>
      </c>
      <c r="C73" s="96" t="n">
        <v>443.67</v>
      </c>
    </row>
    <row r="74">
      <c r="A74" s="79" t="inlineStr">
        <is>
          <t>37.60.06.0167</t>
        </is>
      </c>
      <c r="B74" s="79" t="inlineStr">
        <is>
          <t>Domino - Gutter U - L5950 - 6Ø13 - Galvanized</t>
        </is>
      </c>
      <c r="C74" s="96" t="n">
        <v>265.07</v>
      </c>
    </row>
    <row r="75">
      <c r="A75" s="79" t="inlineStr">
        <is>
          <t>43.08.18.0028</t>
        </is>
      </c>
      <c r="B75" s="79" t="inlineStr">
        <is>
          <t>Domino - Gutter U - L5950 - 6Ø13 - Powder Coated</t>
        </is>
      </c>
      <c r="C75" s="96" t="n">
        <v>524.42</v>
      </c>
    </row>
    <row r="76">
      <c r="A76" s="79" t="inlineStr">
        <is>
          <t>43.09.06.0001</t>
        </is>
      </c>
      <c r="B76" s="79" t="inlineStr">
        <is>
          <t>Domino - Mof A - Galvanized</t>
        </is>
      </c>
      <c r="C76" s="96" t="n">
        <v>53.79</v>
      </c>
    </row>
    <row r="77">
      <c r="A77" s="79" t="inlineStr">
        <is>
          <t>43.09.06.0006</t>
        </is>
      </c>
      <c r="B77" s="79" t="inlineStr">
        <is>
          <t>Domino - Mof A - Powder Coated</t>
        </is>
      </c>
      <c r="C77" s="96" t="n">
        <v>68.55</v>
      </c>
    </row>
    <row r="78">
      <c r="A78" s="79" t="inlineStr">
        <is>
          <t>43.09.06.0002</t>
        </is>
      </c>
      <c r="B78" s="79" t="inlineStr">
        <is>
          <t>Domino - Mof B - Galvanized</t>
        </is>
      </c>
      <c r="C78" s="96" t="n">
        <v>45.58</v>
      </c>
    </row>
    <row r="79">
      <c r="A79" s="79" t="inlineStr">
        <is>
          <t>43.09.06.0007</t>
        </is>
      </c>
      <c r="B79" s="79" t="inlineStr">
        <is>
          <t>Domino - Mof B - Powder Coated</t>
        </is>
      </c>
      <c r="C79" s="96" t="n">
        <v>58.56</v>
      </c>
    </row>
    <row r="80">
      <c r="A80" s="79" t="inlineStr">
        <is>
          <t>43.09.06.0003</t>
        </is>
      </c>
      <c r="B80" s="79" t="inlineStr">
        <is>
          <t>Domino - Mof C - Galvanized</t>
        </is>
      </c>
      <c r="C80" s="96" t="n">
        <v>52.87</v>
      </c>
    </row>
    <row r="81">
      <c r="A81" s="79" t="inlineStr">
        <is>
          <t>43.09.06.0008</t>
        </is>
      </c>
      <c r="B81" s="79" t="inlineStr">
        <is>
          <t>Domino - Mof C - Powder Coated</t>
        </is>
      </c>
      <c r="C81" s="96" t="n">
        <v>66.44</v>
      </c>
    </row>
    <row r="82">
      <c r="A82" s="79" t="inlineStr">
        <is>
          <t>43.09.06.0005</t>
        </is>
      </c>
      <c r="B82" s="79" t="inlineStr">
        <is>
          <t>Domino - Mof D - Galvanized</t>
        </is>
      </c>
      <c r="C82" s="96" t="n">
        <v>41.65</v>
      </c>
    </row>
    <row r="83">
      <c r="A83" s="79" t="inlineStr">
        <is>
          <t>43.09.06.0010</t>
        </is>
      </c>
      <c r="B83" s="79" t="inlineStr">
        <is>
          <t>Domino - Mof D - Powder Coated</t>
        </is>
      </c>
      <c r="C83" s="96" t="n">
        <v>52.85</v>
      </c>
    </row>
    <row r="84">
      <c r="A84" s="79" t="inlineStr">
        <is>
          <t>43.09.06.0004</t>
        </is>
      </c>
      <c r="B84" s="79" t="inlineStr">
        <is>
          <t>Domino - Mof W - Galvanized</t>
        </is>
      </c>
      <c r="C84" s="96" t="n">
        <v>19.46</v>
      </c>
    </row>
    <row r="85">
      <c r="A85" s="79" t="inlineStr">
        <is>
          <t>43.09.06.0009</t>
        </is>
      </c>
      <c r="B85" s="79" t="inlineStr">
        <is>
          <t>Domino - Mof W - Powder Coated</t>
        </is>
      </c>
      <c r="C85" s="96" t="n">
        <v>22.34</v>
      </c>
    </row>
    <row r="86">
      <c r="A86" s="79" t="inlineStr">
        <is>
          <t>43.07.18.0013</t>
        </is>
      </c>
      <c r="B86" s="79" t="inlineStr">
        <is>
          <t>Domino - Strut - 50x2 - Galvanized</t>
        </is>
      </c>
      <c r="C86" s="96" t="n">
        <v>57.94</v>
      </c>
    </row>
    <row r="87">
      <c r="A87" s="79" t="inlineStr">
        <is>
          <t>43.07.18.0014</t>
        </is>
      </c>
      <c r="B87" s="79" t="inlineStr">
        <is>
          <t>Domino - Strut - 50x2 - Powder Coated</t>
        </is>
      </c>
      <c r="C87" s="96" t="n">
        <v>66.17</v>
      </c>
    </row>
    <row r="88">
      <c r="A88" s="79" t="inlineStr">
        <is>
          <t>37.60.06.0168</t>
        </is>
      </c>
      <c r="B88" s="79" t="inlineStr">
        <is>
          <t>Domino - U-Profile - 80x50x3 - L1890 - 3Ø13 - Galvanized</t>
        </is>
      </c>
      <c r="C88" s="96" t="n">
        <v>38.34</v>
      </c>
    </row>
    <row r="89">
      <c r="A89" s="79" t="inlineStr">
        <is>
          <t>43.17.06.0004</t>
        </is>
      </c>
      <c r="B89" s="79" t="inlineStr">
        <is>
          <t>Domino - U-Profile - 80x50x3 - L1890 - 3Ø13 - Powder Coated</t>
        </is>
      </c>
      <c r="C89" s="96" t="n">
        <v>67.56999999999999</v>
      </c>
    </row>
    <row r="90">
      <c r="A90" s="79" t="inlineStr">
        <is>
          <t>37.60.06.0169</t>
        </is>
      </c>
      <c r="B90" s="79" t="inlineStr">
        <is>
          <t>Domino - U-Profile - 80x50x3 - L2390 - 3Ø13 - Galvanized</t>
        </is>
      </c>
      <c r="C90" s="96" t="n">
        <v>53.03</v>
      </c>
    </row>
    <row r="91">
      <c r="A91" s="79" t="inlineStr">
        <is>
          <t>43.17.06.0005</t>
        </is>
      </c>
      <c r="B91" s="79" t="inlineStr">
        <is>
          <t>Domino - U-Profile - 80x50x3 - L2390 - 3Ø13 - Powder Coated</t>
        </is>
      </c>
      <c r="C91" s="96" t="n">
        <v>89.97</v>
      </c>
    </row>
    <row r="92">
      <c r="A92" s="79" t="inlineStr">
        <is>
          <t>37.60.06.0017</t>
        </is>
      </c>
      <c r="B92" s="79" t="inlineStr">
        <is>
          <t>Domino - U-Profile - 80x50x3 - L3920 - 4Ø13 - Galvanized</t>
        </is>
      </c>
      <c r="C92" s="96" t="n">
        <v>103.59</v>
      </c>
    </row>
    <row r="93">
      <c r="A93" s="79" t="inlineStr">
        <is>
          <t>43.17.06.0001</t>
        </is>
      </c>
      <c r="B93" s="79" t="inlineStr">
        <is>
          <t>Domino - U-Profile - 80x50x3 - L3920 - 4Ø13 - Powder Coated</t>
        </is>
      </c>
      <c r="C93" s="96" t="n">
        <v>164.18</v>
      </c>
    </row>
    <row r="94">
      <c r="A94" s="79" t="inlineStr">
        <is>
          <t>37.60.06.0018</t>
        </is>
      </c>
      <c r="B94" s="79" t="inlineStr">
        <is>
          <t>Domino - U-Profile - 80x50x3 - L4920 - 4Ø13 - Galvanized</t>
        </is>
      </c>
      <c r="C94" s="96" t="n">
        <v>115.9</v>
      </c>
    </row>
    <row r="95">
      <c r="A95" s="79" t="inlineStr">
        <is>
          <t>43.17.06.0002</t>
        </is>
      </c>
      <c r="B95" s="79" t="inlineStr">
        <is>
          <t>Domino - U-Profile - 80x50x3 - L4920 - 4Ø13 - Powder Coated</t>
        </is>
      </c>
      <c r="C95" s="96" t="n">
        <v>191.92</v>
      </c>
    </row>
    <row r="96">
      <c r="A96" s="79" t="inlineStr">
        <is>
          <t>37.60.06.0019</t>
        </is>
      </c>
      <c r="B96" s="79" t="inlineStr">
        <is>
          <t>Domino - U-Profile - 80x50x3 - L5950 - 4Ø13 - Galvanized</t>
        </is>
      </c>
      <c r="C96" s="96" t="n">
        <v>103.59</v>
      </c>
      <c r="I96" s="80" t="n"/>
    </row>
    <row r="97">
      <c r="A97" s="79" t="inlineStr">
        <is>
          <t>43.17.06.0003</t>
        </is>
      </c>
      <c r="B97" s="79" t="inlineStr">
        <is>
          <t>Domino - U-Profile - 80x50x3 - L5950 - 4Ø13 - Powder Coated</t>
        </is>
      </c>
      <c r="C97" s="96" t="n">
        <v>195.54</v>
      </c>
      <c r="I97" s="80" t="n"/>
    </row>
    <row r="98">
      <c r="A98" s="79" t="inlineStr">
        <is>
          <t>43.07.18.0001</t>
        </is>
      </c>
      <c r="B98" s="79" t="inlineStr">
        <is>
          <t>Domino - Wall Connector - Galvanized</t>
        </is>
      </c>
      <c r="C98" s="96" t="n">
        <v>4.76</v>
      </c>
      <c r="I98" s="80" t="n"/>
    </row>
    <row r="99">
      <c r="A99" s="79" t="inlineStr">
        <is>
          <t>43.07.18.0004</t>
        </is>
      </c>
      <c r="B99" s="79" t="inlineStr">
        <is>
          <t>Domino - Wall Connector - Powder Coated</t>
        </is>
      </c>
      <c r="C99" s="96" t="n">
        <v>5.39</v>
      </c>
      <c r="I99" s="80" t="n"/>
    </row>
    <row r="100">
      <c r="A100" s="79" t="inlineStr">
        <is>
          <t>43.06.14.0049</t>
        </is>
      </c>
      <c r="B100" s="79" t="inlineStr">
        <is>
          <t>Domino - Gate Column - 80x60x3 - L2260 - Galvanized</t>
        </is>
      </c>
      <c r="C100" s="96" t="n">
        <v>97.22</v>
      </c>
      <c r="I100" s="80" t="n"/>
    </row>
    <row r="101">
      <c r="A101" s="79" t="inlineStr">
        <is>
          <t>43.06.14.0050</t>
        </is>
      </c>
      <c r="B101" s="79" t="inlineStr">
        <is>
          <t>Domino - Gate Column - 80x60x3 - L2910 - Galvanized</t>
        </is>
      </c>
      <c r="C101" s="96" t="n">
        <v>105.65</v>
      </c>
      <c r="I101" s="80" t="n"/>
    </row>
    <row r="102">
      <c r="A102" s="79" t="inlineStr">
        <is>
          <t>43.06.14.0051</t>
        </is>
      </c>
      <c r="B102" s="79" t="inlineStr">
        <is>
          <t>Domino - Gate Column - 80x603 - L2260 - Powder Coated</t>
        </is>
      </c>
      <c r="C102" s="96" t="n">
        <v>136.93</v>
      </c>
      <c r="I102" s="80" t="n"/>
    </row>
    <row r="103">
      <c r="A103" s="79" t="inlineStr">
        <is>
          <t>43.06.14.0052</t>
        </is>
      </c>
      <c r="B103" s="79" t="inlineStr">
        <is>
          <t>Domino - Gate Column - 80x603 - L2910 - Powder Coated</t>
        </is>
      </c>
      <c r="C103" s="96" t="n">
        <v>157.82</v>
      </c>
      <c r="I103" s="80" t="n"/>
    </row>
    <row r="104">
      <c r="A104" s="79" t="inlineStr">
        <is>
          <t>43.32.03.0052</t>
        </is>
      </c>
      <c r="B104" s="79" t="inlineStr">
        <is>
          <t>Domino - Gate Frame - W930 - H2030 - Galvanized</t>
        </is>
      </c>
      <c r="C104" s="96" t="n">
        <v>178.32</v>
      </c>
      <c r="I104" s="80" t="n"/>
    </row>
    <row r="105">
      <c r="A105" s="79" t="inlineStr">
        <is>
          <t>43.32.03.0053</t>
        </is>
      </c>
      <c r="B105" s="79" t="inlineStr">
        <is>
          <t>Domino - Gate Frame - W930 - H2680 - Galvanized</t>
        </is>
      </c>
      <c r="C105" s="96" t="n">
        <v>211.06</v>
      </c>
      <c r="I105" s="80" t="n"/>
    </row>
    <row r="106">
      <c r="A106" s="79" t="inlineStr">
        <is>
          <t>43.32.03.0054</t>
        </is>
      </c>
      <c r="B106" s="79" t="inlineStr">
        <is>
          <t>Domino - Gate Frame - W1180 - H2030 - Galvanized</t>
        </is>
      </c>
      <c r="C106" s="96" t="n">
        <v>186.96</v>
      </c>
      <c r="I106" s="80" t="n"/>
    </row>
    <row r="107">
      <c r="A107" s="79" t="inlineStr">
        <is>
          <t>43.32.03.0055</t>
        </is>
      </c>
      <c r="B107" s="79" t="inlineStr">
        <is>
          <t>Domino - Gate Frame - W1180 - H2680 - Galvanized</t>
        </is>
      </c>
      <c r="C107" s="96" t="n">
        <v>222.59</v>
      </c>
      <c r="I107" s="80" t="n"/>
    </row>
    <row r="108">
      <c r="A108" s="79" t="inlineStr">
        <is>
          <t>43.32.03.0056</t>
        </is>
      </c>
      <c r="B108" s="79" t="inlineStr">
        <is>
          <t>Domino - Gate Frame - W930 - H2030 - Powder Coated</t>
        </is>
      </c>
      <c r="C108" s="96" t="n">
        <v>261.97</v>
      </c>
      <c r="I108" s="80" t="n"/>
    </row>
    <row r="109">
      <c r="A109" s="79" t="inlineStr">
        <is>
          <t>43.32.03.0057</t>
        </is>
      </c>
      <c r="B109" s="79" t="inlineStr">
        <is>
          <t>Domino - Gate Frame - W930 - H2680 - Powder Coated</t>
        </is>
      </c>
      <c r="C109" s="96" t="n">
        <v>322.62</v>
      </c>
      <c r="I109" s="80" t="n"/>
    </row>
    <row r="110">
      <c r="A110" s="79" t="inlineStr">
        <is>
          <t>43.32.03.0058</t>
        </is>
      </c>
      <c r="B110" s="79" t="inlineStr">
        <is>
          <t>Domino - Gate Frame - W1180 - H2030 - Powder Coated</t>
        </is>
      </c>
      <c r="C110" s="96" t="n">
        <v>280.7</v>
      </c>
      <c r="I110" s="80" t="n"/>
    </row>
    <row r="111">
      <c r="A111" s="79" t="inlineStr">
        <is>
          <t>43.32.03.0059</t>
        </is>
      </c>
      <c r="B111" s="79" t="inlineStr">
        <is>
          <t>Domino - Gate Frame - W1180 - H2680 - Powder Coated</t>
        </is>
      </c>
      <c r="C111" s="96" t="n">
        <v>347.81</v>
      </c>
      <c r="I111" s="80" t="n"/>
    </row>
    <row r="112">
      <c r="A112" s="79" t="inlineStr">
        <is>
          <t>43.32.03.0048</t>
        </is>
      </c>
      <c r="B112" s="79" t="inlineStr">
        <is>
          <t>Domino - Hinge Bracket - Galvanized</t>
        </is>
      </c>
      <c r="C112" s="96" t="n">
        <v>16.3</v>
      </c>
      <c r="I112" s="80" t="n"/>
    </row>
    <row r="113">
      <c r="A113" s="79" t="inlineStr">
        <is>
          <t>43.32.03.0049</t>
        </is>
      </c>
      <c r="B113" s="79" t="inlineStr">
        <is>
          <t>Domino - Hinge Bracket - Powder coated</t>
        </is>
      </c>
      <c r="C113" s="96" t="n">
        <v>15.62</v>
      </c>
      <c r="I113" s="80" t="n"/>
    </row>
    <row r="114">
      <c r="A114" s="79" t="inlineStr">
        <is>
          <t>43.32.03.0050</t>
        </is>
      </c>
      <c r="B114" s="79" t="inlineStr">
        <is>
          <t>Domino - Hinge L-Profile - Galvanized</t>
        </is>
      </c>
      <c r="C114" s="96" t="n">
        <v>16.1</v>
      </c>
      <c r="I114" s="80" t="n"/>
    </row>
    <row r="115">
      <c r="A115" s="79" t="inlineStr">
        <is>
          <t>43.32.03.0051</t>
        </is>
      </c>
      <c r="B115" s="79" t="inlineStr">
        <is>
          <t>Domino - Hinge L-Profile - Powder coated</t>
        </is>
      </c>
      <c r="C115" s="96" t="n">
        <v>17.29</v>
      </c>
      <c r="I115" s="80" t="n"/>
    </row>
    <row r="116">
      <c r="A116" s="79" t="inlineStr">
        <is>
          <t>20.01.11.0012</t>
        </is>
      </c>
      <c r="B116" s="79" t="inlineStr">
        <is>
          <t>Mesh Panel - 2D - 6/5/6 - W2000H2030 - RAL6005 - Cut</t>
        </is>
      </c>
      <c r="C116" s="96" t="n">
        <v>134.92</v>
      </c>
    </row>
    <row r="117">
      <c r="A117" s="79" t="inlineStr">
        <is>
          <t>20.01.11.0013</t>
        </is>
      </c>
      <c r="B117" s="79" t="inlineStr">
        <is>
          <t>Mesh Panel - 2D - 6/5/6 - W2000H2030 - RAL7016 - Cut</t>
        </is>
      </c>
      <c r="C117" s="96" t="n">
        <v>134.92</v>
      </c>
      <c r="I117" s="80" t="n"/>
    </row>
    <row r="118">
      <c r="A118" s="79" t="inlineStr">
        <is>
          <t>20.01.11.0014</t>
        </is>
      </c>
      <c r="B118" s="79" t="inlineStr">
        <is>
          <t>Mesh Panel - 2D - 6/5/6 - W2000H2030 - RAL9005 - Cut</t>
        </is>
      </c>
      <c r="C118" s="96" t="n">
        <v>140.69</v>
      </c>
      <c r="I118" s="80" t="n"/>
    </row>
    <row r="119">
      <c r="A119" s="79" t="inlineStr">
        <is>
          <t>20.01.11.0015</t>
        </is>
      </c>
      <c r="B119" s="79" t="inlineStr">
        <is>
          <t>Mesh Panel - 2D - 6/5/6 - W2000H2030 - Galvanized - Cut</t>
        </is>
      </c>
      <c r="C119" s="96" t="n">
        <v>155.82</v>
      </c>
      <c r="I119" s="80" t="n"/>
    </row>
    <row r="120">
      <c r="A120" s="79" t="inlineStr">
        <is>
          <t>20.01.11.0016</t>
        </is>
      </c>
      <c r="B120" s="80" t="inlineStr">
        <is>
          <t>Mesh Panel - 2D - 6/5/6 - W2000H630 - RAL6005 - Cut</t>
        </is>
      </c>
      <c r="C120" s="96" t="n">
        <v>52.28</v>
      </c>
      <c r="I120" s="80" t="n"/>
    </row>
    <row r="121">
      <c r="A121" s="79" t="inlineStr">
        <is>
          <t>20.01.11.0017</t>
        </is>
      </c>
      <c r="B121" s="80" t="inlineStr">
        <is>
          <t>Mesh Panel - 2D - 6/5/6 - W2000H630 - RAL7016 - Cut</t>
        </is>
      </c>
      <c r="C121" s="96" t="n">
        <v>52.28</v>
      </c>
      <c r="I121" s="80" t="n"/>
    </row>
    <row r="122">
      <c r="A122" s="79" t="inlineStr">
        <is>
          <t>20.01.11.0018</t>
        </is>
      </c>
      <c r="B122" s="80" t="inlineStr">
        <is>
          <t>Mesh Panel - 2D - 6/5/6 - W2000H630 - RAL9005 - Cut</t>
        </is>
      </c>
      <c r="C122" s="96" t="n">
        <v>54.4</v>
      </c>
      <c r="I122" s="80" t="n"/>
    </row>
    <row r="123">
      <c r="A123" s="79" t="inlineStr">
        <is>
          <t>20.01.11.0019</t>
        </is>
      </c>
      <c r="B123" s="80" t="inlineStr">
        <is>
          <t>Mesh Panel - 2D - 6/5/6 - W2000H630 - Galvanized - Cut</t>
        </is>
      </c>
      <c r="C123" s="96" t="n">
        <v>60.74</v>
      </c>
      <c r="I123" s="80" t="n"/>
    </row>
    <row r="124">
      <c r="A124" s="79" t="inlineStr">
        <is>
          <t>20.01.11.0020</t>
        </is>
      </c>
      <c r="B124" s="80" t="inlineStr">
        <is>
          <t>Mesh Panel - 2D - 6/5/6 - W1150H2030 - RAL6005 - Cut</t>
        </is>
      </c>
      <c r="C124" s="96" t="n">
        <v>77.31</v>
      </c>
      <c r="I124" s="80" t="n"/>
    </row>
    <row r="125">
      <c r="A125" s="79" t="inlineStr">
        <is>
          <t>20.01.11.0021</t>
        </is>
      </c>
      <c r="B125" s="80" t="inlineStr">
        <is>
          <t>Mesh Panel - 2D - 6/5/6 - W1150H2030 - RAL7016 - Cut</t>
        </is>
      </c>
      <c r="C125" s="96" t="n">
        <v>77.31</v>
      </c>
      <c r="I125" s="80" t="n"/>
    </row>
    <row r="126">
      <c r="A126" s="79" t="inlineStr">
        <is>
          <t>20.01.11.0022</t>
        </is>
      </c>
      <c r="B126" s="80" t="inlineStr">
        <is>
          <t>Mesh Panel - 2D - 6/5/6 - W1150H2030 - RAL9005 - Cut</t>
        </is>
      </c>
      <c r="C126" s="96" t="n">
        <v>80.19</v>
      </c>
      <c r="I126" s="80" t="n"/>
    </row>
    <row r="127">
      <c r="A127" s="79" t="inlineStr">
        <is>
          <t>20.01.11.0023</t>
        </is>
      </c>
      <c r="B127" s="80" t="inlineStr">
        <is>
          <t>Mesh Panel - 2D - 6/5/6 - W1150H2030 - Galvanized - Cut</t>
        </is>
      </c>
      <c r="C127" s="96" t="n">
        <v>87.75</v>
      </c>
      <c r="I127" s="80" t="n"/>
    </row>
    <row r="128">
      <c r="A128" s="79" t="inlineStr">
        <is>
          <t>20.01.11.0024</t>
        </is>
      </c>
      <c r="B128" s="80" t="inlineStr">
        <is>
          <t>Mesh Panel - 2D - 6/5/6 - W1150H630 - RAL6005 - Cut</t>
        </is>
      </c>
      <c r="C128" s="96" t="n">
        <v>31.06</v>
      </c>
      <c r="I128" s="80" t="n"/>
    </row>
    <row r="129">
      <c r="A129" s="79" t="inlineStr">
        <is>
          <t>20.01.11.0025</t>
        </is>
      </c>
      <c r="B129" s="80" t="inlineStr">
        <is>
          <t>Mesh Panel - 2D - 6/5/6 - W1150H630 - RAL7016 - Cut</t>
        </is>
      </c>
      <c r="C129" s="96" t="n">
        <v>31.06</v>
      </c>
      <c r="I129" s="80" t="n"/>
    </row>
    <row r="130">
      <c r="A130" s="79" t="inlineStr">
        <is>
          <t>20.01.11.0026</t>
        </is>
      </c>
      <c r="B130" s="80" t="inlineStr">
        <is>
          <t>Mesh Panel - 2D - 6/5/6 - W1150H630 - RAL9005 - Cut</t>
        </is>
      </c>
      <c r="C130" s="96" t="n">
        <v>32.12</v>
      </c>
      <c r="I130" s="80" t="n"/>
    </row>
    <row r="131">
      <c r="A131" s="79" t="inlineStr">
        <is>
          <t>20.01.11.0027</t>
        </is>
      </c>
      <c r="B131" s="80" t="inlineStr">
        <is>
          <t>Mesh Panel - 2D - 6/5/6 - W1150H630 - Galvanized - Cut</t>
        </is>
      </c>
      <c r="C131" s="96" t="n">
        <v>35.29</v>
      </c>
      <c r="I131" s="80" t="n"/>
    </row>
    <row r="132">
      <c r="A132" s="79" t="inlineStr">
        <is>
          <t>20.01.11.0028</t>
        </is>
      </c>
      <c r="B132" s="80" t="inlineStr">
        <is>
          <t>Mesh Panel - 2D - 6/5/6 - W900H2030 - RAL6005 - Cut</t>
        </is>
      </c>
      <c r="C132" s="96" t="n">
        <v>77.31</v>
      </c>
      <c r="I132" s="80" t="n"/>
    </row>
    <row r="133">
      <c r="A133" s="79" t="inlineStr">
        <is>
          <t>20.01.11.0029</t>
        </is>
      </c>
      <c r="B133" s="80" t="inlineStr">
        <is>
          <t>Mesh Panel - 2D - 6/5/6 - W900H2030 - RAL7016 - Cut</t>
        </is>
      </c>
      <c r="C133" s="96" t="n">
        <v>77.31</v>
      </c>
      <c r="I133" s="80" t="n"/>
    </row>
    <row r="134">
      <c r="A134" s="79" t="inlineStr">
        <is>
          <t>20.01.11.0030</t>
        </is>
      </c>
      <c r="B134" s="80" t="inlineStr">
        <is>
          <t>Mesh Panel - 2D - 6/5/6 - W900H2030 - RAL9005 - Cut</t>
        </is>
      </c>
      <c r="C134" s="96" t="n">
        <v>80.19</v>
      </c>
      <c r="I134" s="80" t="n"/>
    </row>
    <row r="135">
      <c r="A135" s="79" t="inlineStr">
        <is>
          <t>20.01.11.0031</t>
        </is>
      </c>
      <c r="B135" s="80" t="inlineStr">
        <is>
          <t>Mesh Panel - 2D - 6/5/6 - W900H2030 - Galvanized - Cut</t>
        </is>
      </c>
      <c r="C135" s="96" t="n">
        <v>87.75</v>
      </c>
      <c r="I135" s="80" t="n"/>
    </row>
    <row r="136">
      <c r="A136" s="79" t="inlineStr">
        <is>
          <t>20.01.11.0032</t>
        </is>
      </c>
      <c r="B136" s="80" t="inlineStr">
        <is>
          <t>Mesh Panel - 2D - 6/5/6 - W900H630 - RAL6005 - Cut</t>
        </is>
      </c>
      <c r="C136" s="96" t="n">
        <v>31.06</v>
      </c>
      <c r="I136" s="80" t="n"/>
    </row>
    <row r="137">
      <c r="A137" s="79" t="inlineStr">
        <is>
          <t>20.01.11.0033</t>
        </is>
      </c>
      <c r="B137" s="80" t="inlineStr">
        <is>
          <t>Mesh Panel - 2D - 6/5/6 - W900H630 - RAL7016 - Cut</t>
        </is>
      </c>
      <c r="C137" s="96" t="n">
        <v>31.06</v>
      </c>
      <c r="I137" s="80" t="n"/>
    </row>
    <row r="138">
      <c r="A138" s="79" t="inlineStr">
        <is>
          <t>20.01.11.0034</t>
        </is>
      </c>
      <c r="B138" s="80" t="inlineStr">
        <is>
          <t>Mesh Panel - 2D - 6/5/6 - W900H630 - RAL9005 - Cut</t>
        </is>
      </c>
      <c r="C138" s="96" t="n">
        <v>32.12</v>
      </c>
      <c r="I138" s="80" t="n"/>
    </row>
    <row r="139">
      <c r="A139" s="79" t="inlineStr">
        <is>
          <t>20.01.11.0035</t>
        </is>
      </c>
      <c r="B139" s="80" t="inlineStr">
        <is>
          <t>Mesh Panel - 2D - 6/5/6 - W900H630 - Galvanized - Cut</t>
        </is>
      </c>
      <c r="C139" s="96" t="n">
        <v>35.29</v>
      </c>
      <c r="I139" s="80" t="n"/>
    </row>
    <row r="140">
      <c r="A140" s="79" t="inlineStr">
        <is>
          <t>20.01.11.0036</t>
        </is>
      </c>
      <c r="B140" s="80" t="inlineStr">
        <is>
          <t>Mesh Panel - 2D - 6/5/6 - W600H2030 - RAL6005 - Cut</t>
        </is>
      </c>
      <c r="C140" s="96" t="n">
        <v>48.5</v>
      </c>
      <c r="I140" s="80" t="n"/>
    </row>
    <row r="141">
      <c r="A141" s="79" t="inlineStr">
        <is>
          <t>20.01.11.0037</t>
        </is>
      </c>
      <c r="B141" s="80" t="inlineStr">
        <is>
          <t>Mesh Panel - 2D - 6/5/6 - W600H2030 - RAL7016 - Cut</t>
        </is>
      </c>
      <c r="C141" s="96" t="n">
        <v>48.5</v>
      </c>
      <c r="I141" s="80" t="n"/>
    </row>
    <row r="142">
      <c r="A142" s="79" t="inlineStr">
        <is>
          <t>20.01.11.0038</t>
        </is>
      </c>
      <c r="B142" s="80" t="inlineStr">
        <is>
          <t>Mesh Panel - 2D - 6/5/6 - W600H2030 - RAL9005 - Cut</t>
        </is>
      </c>
      <c r="C142" s="96" t="n">
        <v>49.94</v>
      </c>
      <c r="I142" s="80" t="n"/>
    </row>
    <row r="143">
      <c r="A143" s="79" t="inlineStr">
        <is>
          <t>20.01.11.0039</t>
        </is>
      </c>
      <c r="B143" s="80" t="inlineStr">
        <is>
          <t>Mesh Panel - 2D - 6/5/6 - W600H2030 - Galvanized - Cut</t>
        </is>
      </c>
      <c r="C143" s="96" t="n">
        <v>53.72</v>
      </c>
      <c r="I143" s="80" t="n"/>
    </row>
    <row r="144">
      <c r="A144" s="79" t="inlineStr">
        <is>
          <t>20.01.11.0040</t>
        </is>
      </c>
      <c r="B144" s="80" t="inlineStr">
        <is>
          <t>Mesh Panel - 2D - 6/5/6 - W600H630 - RAL6005 - Cut</t>
        </is>
      </c>
      <c r="C144" s="96" t="n">
        <v>20.46</v>
      </c>
      <c r="I144" s="80" t="n"/>
    </row>
    <row r="145">
      <c r="A145" s="79" t="inlineStr">
        <is>
          <t>20.01.11.0041</t>
        </is>
      </c>
      <c r="B145" s="80" t="inlineStr">
        <is>
          <t>Mesh Panel - 2D - 6/5/6 - W600H630 - RAL7016 - Cut</t>
        </is>
      </c>
      <c r="C145" s="96" t="n">
        <v>20.46</v>
      </c>
      <c r="I145" s="80" t="n"/>
    </row>
    <row r="146">
      <c r="A146" s="79" t="inlineStr">
        <is>
          <t>20.01.11.0042</t>
        </is>
      </c>
      <c r="B146" s="80" t="inlineStr">
        <is>
          <t>Mesh Panel - 2D - 6/5/6 - W600H630 - RAL9005 - Cut</t>
        </is>
      </c>
      <c r="C146" s="96" t="n">
        <v>20.98</v>
      </c>
      <c r="I146" s="80" t="n"/>
    </row>
    <row r="147">
      <c r="A147" s="79" t="inlineStr">
        <is>
          <t>20.01.11.0043</t>
        </is>
      </c>
      <c r="B147" s="80" t="inlineStr">
        <is>
          <t>Mesh Panel - 2D - 6/5/6 - W600H630 - Galvanized - Cut</t>
        </is>
      </c>
      <c r="C147" s="96" t="n">
        <v>22.57</v>
      </c>
      <c r="I147" s="80" t="n"/>
    </row>
    <row r="148">
      <c r="A148" s="79" t="inlineStr">
        <is>
          <t>20.01.11.0044</t>
        </is>
      </c>
      <c r="B148" s="80" t="inlineStr">
        <is>
          <t>Mesh Panel - 2D - 6/5/6 - W350H2030 - RAL6005 - Cut</t>
        </is>
      </c>
      <c r="C148" s="96" t="n">
        <v>48.5</v>
      </c>
      <c r="I148" s="80" t="n"/>
    </row>
    <row r="149">
      <c r="A149" s="79" t="inlineStr">
        <is>
          <t>20.01.11.0045</t>
        </is>
      </c>
      <c r="B149" s="80" t="inlineStr">
        <is>
          <t>Mesh Panel - 2D - 6/5/6 - W350H2030 - RAL7016 - Cut</t>
        </is>
      </c>
      <c r="C149" s="96" t="n">
        <v>48.5</v>
      </c>
      <c r="I149" s="80" t="n"/>
    </row>
    <row r="150">
      <c r="A150" s="79" t="inlineStr">
        <is>
          <t>20.01.11.0046</t>
        </is>
      </c>
      <c r="B150" s="80" t="inlineStr">
        <is>
          <t>Mesh Panel - 2D - 6/5/6 - W350H2030 - RAL9005 - Cut</t>
        </is>
      </c>
      <c r="C150" s="96" t="n">
        <v>49.94</v>
      </c>
      <c r="I150" s="80" t="n"/>
    </row>
    <row r="151">
      <c r="A151" s="79" t="inlineStr">
        <is>
          <t>20.01.11.0047</t>
        </is>
      </c>
      <c r="B151" s="80" t="inlineStr">
        <is>
          <t>Mesh Panel - 2D - 6/5/6 - W350H2030 - Galvanized - Cut</t>
        </is>
      </c>
      <c r="C151" s="96" t="n">
        <v>53.72</v>
      </c>
      <c r="I151" s="80" t="n"/>
    </row>
    <row r="152">
      <c r="A152" s="79" t="inlineStr">
        <is>
          <t>20.01.11.0048</t>
        </is>
      </c>
      <c r="B152" s="80" t="inlineStr">
        <is>
          <t>Mesh Panel - 2D - 6/5/6 - W350H630 - RAL6005 - Cut</t>
        </is>
      </c>
      <c r="C152" s="96" t="n">
        <v>20.46</v>
      </c>
      <c r="I152" s="80" t="n"/>
    </row>
    <row r="153">
      <c r="A153" s="79" t="inlineStr">
        <is>
          <t>20.01.11.0049</t>
        </is>
      </c>
      <c r="B153" s="80" t="inlineStr">
        <is>
          <t>Mesh Panel - 2D - 6/5/6 - W350H630 - RAL7016 - Cut</t>
        </is>
      </c>
      <c r="C153" s="96" t="n">
        <v>20.46</v>
      </c>
      <c r="I153" s="80" t="n"/>
    </row>
    <row r="154">
      <c r="A154" s="79" t="inlineStr">
        <is>
          <t>20.01.11.0050</t>
        </is>
      </c>
      <c r="B154" s="80" t="inlineStr">
        <is>
          <t>Mesh Panel - 2D - 6/5/6 - W350H630 - RAL9005 - Cut</t>
        </is>
      </c>
      <c r="C154" s="96" t="n">
        <v>20.98</v>
      </c>
      <c r="I154" s="80" t="n"/>
    </row>
    <row r="155">
      <c r="A155" s="79" t="inlineStr">
        <is>
          <t>20.01.11.0051</t>
        </is>
      </c>
      <c r="B155" s="80" t="inlineStr">
        <is>
          <t>Mesh Panel - 2D - 6/5/6 - W350H630 - Galvanized - Cut</t>
        </is>
      </c>
      <c r="C155" s="96" t="n">
        <v>22.57</v>
      </c>
      <c r="I155" s="80" t="n"/>
    </row>
    <row r="156">
      <c r="A156" s="79" t="inlineStr">
        <is>
          <t>20.01.12.0001</t>
        </is>
      </c>
      <c r="B156" s="80" t="inlineStr">
        <is>
          <t>Mesh Panel - 2D - 6/5/6 - W2500H2030 - RAL6005</t>
        </is>
      </c>
      <c r="C156" s="96" t="n">
        <v>115.23</v>
      </c>
      <c r="I156" s="80" t="n"/>
    </row>
    <row r="157">
      <c r="A157" s="79" t="inlineStr">
        <is>
          <t>20.01.12.0002</t>
        </is>
      </c>
      <c r="B157" s="80" t="inlineStr">
        <is>
          <t>Mesh Panel - 2D - 6/5/6 - W2500H2030 - RAL7016</t>
        </is>
      </c>
      <c r="C157" s="96" t="n">
        <v>115.23</v>
      </c>
      <c r="I157" s="80" t="n"/>
    </row>
    <row r="158">
      <c r="A158" s="79" t="inlineStr">
        <is>
          <t>20.01.12.0003</t>
        </is>
      </c>
      <c r="B158" s="80" t="inlineStr">
        <is>
          <t>Mesh Panel - 2D - 6/5/6 - W2500H2030 - RAL9005</t>
        </is>
      </c>
      <c r="C158" s="96" t="n">
        <v>120.99</v>
      </c>
      <c r="I158" s="80" t="n"/>
    </row>
    <row r="159">
      <c r="A159" s="79" t="inlineStr">
        <is>
          <t>20.01.12.0004</t>
        </is>
      </c>
      <c r="B159" s="80" t="inlineStr">
        <is>
          <t>Mesh Panel - 2D - 6/5/6 - W2500H2030 - Galvanized</t>
        </is>
      </c>
      <c r="C159" s="96" t="n">
        <v>136.12</v>
      </c>
      <c r="I159" s="80" t="n"/>
    </row>
    <row r="160">
      <c r="A160" s="79" t="inlineStr">
        <is>
          <t>20.01.12.0005</t>
        </is>
      </c>
      <c r="B160" s="80" t="inlineStr">
        <is>
          <t>Mesh Panel - 2D - 6/5/6 - W2500H630 - RAL6005</t>
        </is>
      </c>
      <c r="C160" s="96" t="n">
        <v>42.43</v>
      </c>
      <c r="I160" s="80" t="n"/>
    </row>
    <row r="161">
      <c r="A161" s="79" t="inlineStr">
        <is>
          <t>20.01.12.0006</t>
        </is>
      </c>
      <c r="B161" s="80" t="inlineStr">
        <is>
          <t>Mesh Panel - 2D - 6/5/6 - W2500H630 - RAL7016</t>
        </is>
      </c>
      <c r="C161" s="96" t="n">
        <v>42.43</v>
      </c>
      <c r="I161" s="80" t="n"/>
    </row>
    <row r="162">
      <c r="A162" s="79" t="inlineStr">
        <is>
          <t>20.01.12.0007</t>
        </is>
      </c>
      <c r="B162" s="80" t="inlineStr">
        <is>
          <t>Mesh Panel - 2D - 6/5/6 - W2500H630 - RAL9005</t>
        </is>
      </c>
      <c r="C162" s="96" t="n">
        <v>44.55</v>
      </c>
      <c r="I162" s="80" t="n"/>
    </row>
    <row r="163">
      <c r="A163" s="79" t="inlineStr">
        <is>
          <t>20.01.12.0008</t>
        </is>
      </c>
      <c r="B163" s="80" t="inlineStr">
        <is>
          <t>Mesh Panel - 2D - 6/5/6 - W2500H630 - Galvanized</t>
        </is>
      </c>
      <c r="C163" s="96" t="n">
        <v>50.89</v>
      </c>
      <c r="I163" s="80" t="n"/>
    </row>
    <row r="164">
      <c r="A164" s="79" t="inlineStr">
        <is>
          <t>08.02.04.0007</t>
        </is>
      </c>
      <c r="B164" s="80" t="inlineStr">
        <is>
          <t>Glass Panel - Tempered - Clear - T=8mm - W950H2150</t>
        </is>
      </c>
      <c r="C164" s="96" t="n">
        <v>192.05</v>
      </c>
      <c r="I164" s="80" t="n"/>
    </row>
    <row r="165">
      <c r="A165" s="79" t="inlineStr">
        <is>
          <t>08.02.04.0008</t>
        </is>
      </c>
      <c r="B165" s="80" t="inlineStr">
        <is>
          <t>Glass Panel - Tempered - Clear - T=8mm - W1195H2150</t>
        </is>
      </c>
      <c r="C165" s="96" t="n">
        <v>232.05</v>
      </c>
      <c r="I165" s="80" t="n"/>
    </row>
    <row r="166">
      <c r="A166" s="79" t="inlineStr">
        <is>
          <t>01.06.11.0011</t>
        </is>
      </c>
      <c r="B166" s="79" t="inlineStr">
        <is>
          <t>Steel Roof Sheet - RAL7016 - L=2020mm</t>
        </is>
      </c>
      <c r="C166" s="96" t="n">
        <v>77.63</v>
      </c>
      <c r="I166" s="80" t="n"/>
    </row>
    <row r="167">
      <c r="A167" s="79" t="inlineStr">
        <is>
          <t>01.06.11.0012</t>
        </is>
      </c>
      <c r="B167" s="79" t="inlineStr">
        <is>
          <t>Steel Roof Sheet - RAL7016 - L=2520mm</t>
        </is>
      </c>
      <c r="C167" s="96" t="n">
        <v>96.84999999999999</v>
      </c>
      <c r="I167" s="80" t="n"/>
    </row>
    <row r="168">
      <c r="A168" s="79" t="inlineStr">
        <is>
          <t>37.44.06.0001</t>
        </is>
      </c>
      <c r="B168" s="80" t="inlineStr">
        <is>
          <t>Alu L-profile - 50/125 - R5T8 - L=3000mm</t>
        </is>
      </c>
      <c r="C168" s="96" t="n">
        <v>49.24</v>
      </c>
      <c r="I168" s="80" t="n"/>
    </row>
    <row r="169">
      <c r="A169" s="79" t="inlineStr">
        <is>
          <t>37.44.04.0002</t>
        </is>
      </c>
      <c r="B169" s="80" t="inlineStr">
        <is>
          <t>Alu L-profile - 50/50 - R5T8 - L=3000mm</t>
        </is>
      </c>
      <c r="C169" s="96" t="n">
        <v>30.02</v>
      </c>
      <c r="I169" s="80" t="n"/>
    </row>
    <row r="170">
      <c r="A170" s="79" t="inlineStr">
        <is>
          <t>03.02.02.0092</t>
        </is>
      </c>
      <c r="B170" s="80" t="inlineStr">
        <is>
          <t>Alu L-profile - 80x40x3</t>
        </is>
      </c>
      <c r="C170" s="96" t="n">
        <v>23.08</v>
      </c>
      <c r="I170" s="80" t="n"/>
    </row>
    <row r="171">
      <c r="A171" s="79" t="inlineStr">
        <is>
          <t>03.02.02.0110</t>
        </is>
      </c>
      <c r="B171" s="80" t="inlineStr">
        <is>
          <t>Alu L-profile - 80x40x3 - Powder Coated</t>
        </is>
      </c>
      <c r="C171" s="96" t="n">
        <v>38.46</v>
      </c>
    </row>
    <row r="172">
      <c r="A172" s="79" t="inlineStr">
        <is>
          <t>15.02.02.0124</t>
        </is>
      </c>
      <c r="B172" s="80" t="inlineStr">
        <is>
          <t>Hexagon head bolt - DIN933 - M10X30</t>
        </is>
      </c>
      <c r="C172" s="96" t="n">
        <v>0.22</v>
      </c>
    </row>
    <row r="173">
      <c r="A173" s="79" t="inlineStr">
        <is>
          <t>15.02.02.0131</t>
        </is>
      </c>
      <c r="B173" s="80" t="inlineStr">
        <is>
          <t>Hexagon head bolt - DIN933 - M10X60</t>
        </is>
      </c>
      <c r="C173" s="96" t="n">
        <v>0.48</v>
      </c>
      <c r="I173" s="80" t="n"/>
    </row>
    <row r="174">
      <c r="A174" s="79" t="inlineStr">
        <is>
          <t>15.02.02.0135</t>
        </is>
      </c>
      <c r="B174" s="80" t="inlineStr">
        <is>
          <t>Hexagon head bolt - DIN933 - M10X80</t>
        </is>
      </c>
      <c r="C174" s="96" t="n">
        <v>0.82</v>
      </c>
      <c r="I174" s="80" t="n"/>
      <c r="K174" s="80" t="n"/>
    </row>
    <row r="175">
      <c r="A175" s="79" t="inlineStr">
        <is>
          <t>15.02.02.0136</t>
        </is>
      </c>
      <c r="B175" s="80" t="inlineStr">
        <is>
          <t>Hexagon head bolt - DIN933 - M10X90</t>
        </is>
      </c>
      <c r="C175" s="96" t="n">
        <v>0.66</v>
      </c>
      <c r="I175" s="80" t="n"/>
      <c r="K175" s="80" t="n"/>
    </row>
    <row r="176">
      <c r="A176" s="79" t="inlineStr">
        <is>
          <t>15.02.02.0137</t>
        </is>
      </c>
      <c r="B176" s="80" t="inlineStr">
        <is>
          <t>Hexagon head bolt - DIN933 - M10X100</t>
        </is>
      </c>
      <c r="C176" s="96" t="n">
        <v>0.62</v>
      </c>
      <c r="I176" s="80" t="n"/>
    </row>
    <row r="177">
      <c r="A177" s="79" t="inlineStr">
        <is>
          <t>15.02.02.0138</t>
        </is>
      </c>
      <c r="B177" s="80" t="inlineStr">
        <is>
          <t>Hexagon head bolt - DIN933 - M10X110</t>
        </is>
      </c>
      <c r="C177" s="96" t="n">
        <v>0.74</v>
      </c>
      <c r="I177" s="80" t="n"/>
    </row>
    <row r="178">
      <c r="A178" s="79" t="inlineStr">
        <is>
          <t>15.02.02.0142</t>
        </is>
      </c>
      <c r="B178" s="79" t="inlineStr">
        <is>
          <t>Hexagon head bolt - DIN933 - M10X140</t>
        </is>
      </c>
      <c r="C178" s="96" t="n">
        <v>0.77</v>
      </c>
    </row>
    <row r="179">
      <c r="A179" s="79" t="inlineStr">
        <is>
          <t>15.03.01.0009</t>
        </is>
      </c>
      <c r="B179" s="79" t="inlineStr">
        <is>
          <t>Hexagon nut - DIN934 - M10</t>
        </is>
      </c>
      <c r="C179" s="96" t="n">
        <v>0.06</v>
      </c>
    </row>
    <row r="180">
      <c r="A180" s="79" t="inlineStr">
        <is>
          <t>15.08.03.0006</t>
        </is>
      </c>
      <c r="B180" s="79" t="inlineStr">
        <is>
          <t>Plain washer - DIN125-1A - M10</t>
        </is>
      </c>
      <c r="C180" s="96" t="n">
        <v>0.07000000000000001</v>
      </c>
    </row>
    <row r="181">
      <c r="A181" s="79" t="inlineStr">
        <is>
          <t>15.02.11.0141</t>
        </is>
      </c>
      <c r="B181" s="79" t="inlineStr">
        <is>
          <t>Thread forming bolt - DIN7500D - M10x30</t>
        </is>
      </c>
      <c r="C181" s="96" t="n">
        <v>0.87</v>
      </c>
    </row>
    <row r="182">
      <c r="A182" s="79" t="inlineStr">
        <is>
          <t>19.02.02.0006</t>
        </is>
      </c>
      <c r="B182" s="79" t="inlineStr">
        <is>
          <t>Nut Cap - PE black - M10</t>
        </is>
      </c>
      <c r="C182" s="96" t="n">
        <v>0.12</v>
      </c>
    </row>
    <row r="183">
      <c r="A183" s="79" t="inlineStr">
        <is>
          <t>15.02.05.0066</t>
        </is>
      </c>
      <c r="B183" s="79" t="inlineStr">
        <is>
          <t>Hexagon socket button head screw - ISO 7380-2 - M10x40</t>
        </is>
      </c>
      <c r="C183" s="96" t="n">
        <v>0.49</v>
      </c>
    </row>
    <row r="184">
      <c r="A184" s="79" t="inlineStr">
        <is>
          <t>15.06.02.0050</t>
        </is>
      </c>
      <c r="B184" s="79" t="inlineStr">
        <is>
          <t>Self-drilling screw - neoprene washer - DIN7504K - 6,3x25</t>
        </is>
      </c>
      <c r="C184" s="96" t="n">
        <v>0.24</v>
      </c>
    </row>
    <row r="185">
      <c r="A185" s="79" t="inlineStr">
        <is>
          <t>16.04.03.0124</t>
        </is>
      </c>
      <c r="B185" s="79" t="inlineStr">
        <is>
          <t>Wood screw - Stainless A2 - 4x35mm</t>
        </is>
      </c>
      <c r="C185" s="96" t="n">
        <v>0.24</v>
      </c>
    </row>
    <row r="186">
      <c r="A186" s="79" t="inlineStr">
        <is>
          <t>14.09.01.0002</t>
        </is>
      </c>
      <c r="B186" s="80" t="inlineStr">
        <is>
          <t>Self-drilling screw with wings - 5,5x50mm</t>
        </is>
      </c>
      <c r="C186" s="96" t="n">
        <v>0.33</v>
      </c>
    </row>
    <row r="187">
      <c r="A187" s="79" t="inlineStr">
        <is>
          <t>17.04.01.0058</t>
        </is>
      </c>
      <c r="B187" s="80" t="inlineStr">
        <is>
          <t>Blind rivet - waterproof - DIN7337A - 4,8x12,5</t>
        </is>
      </c>
      <c r="C187" s="96" t="n">
        <v>0.13</v>
      </c>
    </row>
    <row r="188">
      <c r="A188" s="79" t="inlineStr">
        <is>
          <t>27.05.01.0001</t>
        </is>
      </c>
      <c r="B188" s="79" t="inlineStr">
        <is>
          <t>Leafguard - Ø50/70mm</t>
        </is>
      </c>
      <c r="C188" s="96" t="n">
        <v>5.64</v>
      </c>
    </row>
    <row r="189">
      <c r="A189" s="79" t="inlineStr">
        <is>
          <t>20.05.01.0004</t>
        </is>
      </c>
      <c r="B189" s="79" t="inlineStr">
        <is>
          <t>Panel Clamp - Uni - Double - RAL9005 - incl. screw and cap</t>
        </is>
      </c>
      <c r="C189" s="96" t="n">
        <v>1.85</v>
      </c>
    </row>
    <row r="190" ht="15.95" customHeight="1">
      <c r="A190" s="83" t="inlineStr">
        <is>
          <t>20.05.01.0005</t>
        </is>
      </c>
      <c r="B190" s="81" t="inlineStr">
        <is>
          <t>Panel Clamp - Uni - Single - RAL9005 - incl. screw and cap</t>
        </is>
      </c>
      <c r="C190" s="96" t="n">
        <v>1.54</v>
      </c>
    </row>
    <row r="191">
      <c r="A191" s="79" t="inlineStr">
        <is>
          <t>20.07.04.0009</t>
        </is>
      </c>
      <c r="B191" s="79" t="inlineStr">
        <is>
          <t>Keep - Locinox SFKO-QF-ALUM</t>
        </is>
      </c>
      <c r="C191" s="96" t="n">
        <v>43.82</v>
      </c>
    </row>
    <row r="192">
      <c r="A192" s="79" t="inlineStr">
        <is>
          <t>20.08.03.0117</t>
        </is>
      </c>
      <c r="B192" s="79" t="inlineStr">
        <is>
          <t>Eyebolt set - Locinox 1039SET-M16-65</t>
        </is>
      </c>
      <c r="C192" s="96" t="n">
        <v>8.49</v>
      </c>
    </row>
    <row r="193">
      <c r="A193" s="79" t="inlineStr">
        <is>
          <t>20.09.01.0039</t>
        </is>
      </c>
      <c r="B193" s="79" t="inlineStr">
        <is>
          <t>Drop bolt - Locinox VSF-K-QF1BL-ALUM</t>
        </is>
      </c>
      <c r="C193" s="96" t="n">
        <v>58.4</v>
      </c>
    </row>
    <row r="194">
      <c r="A194" s="79" t="inlineStr">
        <is>
          <t>20.10.01.0017</t>
        </is>
      </c>
      <c r="B194" s="79" t="inlineStr">
        <is>
          <t>Cover shield (2 pcs) - Locinox 3020-HYB-ALU-SILV</t>
        </is>
      </c>
      <c r="C194" s="96" t="n">
        <v>19.45</v>
      </c>
    </row>
    <row r="195">
      <c r="A195" s="79" t="inlineStr">
        <is>
          <t>20.10.01.0018</t>
        </is>
      </c>
      <c r="B195" s="79" t="inlineStr">
        <is>
          <t>Adapter set - Locinox UNIWING-PC-ALUM</t>
        </is>
      </c>
      <c r="C195" s="96" t="n">
        <v>33.63</v>
      </c>
    </row>
    <row r="196">
      <c r="A196" s="79" t="inlineStr">
        <is>
          <t>20.10.03.0013</t>
        </is>
      </c>
      <c r="B196" s="79" t="inlineStr">
        <is>
          <t>Handle pair - Locinox 3006M-H</t>
        </is>
      </c>
      <c r="C196" s="96" t="n">
        <v>31.75</v>
      </c>
    </row>
    <row r="197">
      <c r="A197" s="79" t="inlineStr">
        <is>
          <t>20.10.09.0017</t>
        </is>
      </c>
      <c r="B197" s="79" t="inlineStr">
        <is>
          <t>Lock case - Locinox SIXTYLOCK</t>
        </is>
      </c>
      <c r="C197" s="96" t="n">
        <v>118.31</v>
      </c>
    </row>
    <row r="198">
      <c r="A198" s="79" t="inlineStr">
        <is>
          <t>20.10.02.0021</t>
        </is>
      </c>
      <c r="B198" s="79" t="inlineStr">
        <is>
          <t>Euro Cylinder with 3 keys - 30/30mm</t>
        </is>
      </c>
      <c r="C198" s="96" t="n">
        <v>12.86</v>
      </c>
    </row>
    <row r="199">
      <c r="A199" s="79" t="inlineStr">
        <is>
          <t>20.10.02.0023</t>
        </is>
      </c>
      <c r="B199" s="79" t="inlineStr">
        <is>
          <t>Euro Cylinder with 3 keys - 30/50mm</t>
        </is>
      </c>
      <c r="C199" s="96" t="n">
        <v>23.88</v>
      </c>
    </row>
    <row r="200">
      <c r="A200" s="79" t="inlineStr">
        <is>
          <t>40.01.01.0014</t>
        </is>
      </c>
      <c r="B200" s="79" t="inlineStr">
        <is>
          <t>Wooden panel - type A1 - thermowood - WxH=950x2150mm</t>
        </is>
      </c>
      <c r="C200" s="96" t="n">
        <v>94.13</v>
      </c>
    </row>
    <row r="201">
      <c r="A201" s="79" t="inlineStr">
        <is>
          <t>40.01.01.0015</t>
        </is>
      </c>
      <c r="B201" s="79" t="inlineStr">
        <is>
          <t>Wooden panel - type A2 - thermowood - WxH=950x2800mm</t>
        </is>
      </c>
      <c r="C201" s="96" t="n">
        <v>126.59</v>
      </c>
    </row>
    <row r="202">
      <c r="A202" s="79" t="inlineStr">
        <is>
          <t>40.01.01.0016</t>
        </is>
      </c>
      <c r="B202" s="82" t="inlineStr">
        <is>
          <t>Wooden panel - Type B1 - Thermowood - WxH=1195x2150mm</t>
        </is>
      </c>
      <c r="C202" s="96" t="n">
        <v>115.95</v>
      </c>
    </row>
    <row r="203">
      <c r="A203" s="79" t="inlineStr">
        <is>
          <t>40.01.01.0017</t>
        </is>
      </c>
      <c r="B203" s="82" t="inlineStr">
        <is>
          <t>Wooden panel - Type B2 - Thermowood - WxH=1195x2800mm</t>
        </is>
      </c>
      <c r="C203" s="96" t="n">
        <v>154.83</v>
      </c>
    </row>
    <row r="204">
      <c r="A204" s="79" t="inlineStr">
        <is>
          <t>09.01.06.0016</t>
        </is>
      </c>
      <c r="B204" s="79" t="inlineStr">
        <is>
          <t>Thermowood - 44x20x2150mm - 4-sided planed - rounded edges</t>
        </is>
      </c>
      <c r="C204" s="96" t="n">
        <v>7.86</v>
      </c>
    </row>
    <row r="205">
      <c r="A205" s="79" t="inlineStr">
        <is>
          <t>09.01.06.0017</t>
        </is>
      </c>
      <c r="B205" s="79" t="inlineStr">
        <is>
          <t>Thermowood - 44x20x2800mm - 4-sided planed - rounded edges</t>
        </is>
      </c>
      <c r="C205" s="96" t="n">
        <v>9.26</v>
      </c>
    </row>
    <row r="206">
      <c r="A206" s="79" t="inlineStr">
        <is>
          <t>09.01.06.0012</t>
        </is>
      </c>
      <c r="B206" s="79" t="inlineStr">
        <is>
          <t>Thermowood - 90x20x2150mm - 4-sided planed - rounded edges</t>
        </is>
      </c>
      <c r="C206" s="96" t="n">
        <v>8.02</v>
      </c>
    </row>
    <row r="207">
      <c r="A207" s="79" t="inlineStr">
        <is>
          <t>09.01.06.0013</t>
        </is>
      </c>
      <c r="B207" s="79" t="inlineStr">
        <is>
          <t>Thermowood - 90x20x2800mm - 4-sided planed - rounded edges</t>
        </is>
      </c>
      <c r="C207" s="96" t="n">
        <v>10.83</v>
      </c>
    </row>
    <row r="208">
      <c r="A208" s="79" t="inlineStr">
        <is>
          <t>09.01.06.0014</t>
        </is>
      </c>
      <c r="B208" s="79" t="inlineStr">
        <is>
          <t>Thermowood - 44x22x950mm - 4-sided planed</t>
        </is>
      </c>
      <c r="C208" s="96" t="n">
        <v>2.02</v>
      </c>
    </row>
    <row r="209">
      <c r="A209" s="79" t="inlineStr">
        <is>
          <t>09.01.06.0015</t>
        </is>
      </c>
      <c r="B209" s="79" t="inlineStr">
        <is>
          <t>Thermowood - 44x22x1195mm - 4-sided planed</t>
        </is>
      </c>
      <c r="C209" s="96" t="n">
        <v>2.52</v>
      </c>
    </row>
    <row r="210">
      <c r="A210" t="inlineStr">
        <is>
          <t>18.01.18.0001</t>
        </is>
      </c>
      <c r="B210" t="inlineStr">
        <is>
          <t>Anchor rod - Zinc plated M12x160-5.8 - Würth W-VD-A/S</t>
        </is>
      </c>
      <c r="C210" s="96" t="n">
        <v>4.8</v>
      </c>
    </row>
    <row r="211">
      <c r="A211" t="inlineStr">
        <is>
          <t>18.03.03.0001</t>
        </is>
      </c>
      <c r="B211" t="inlineStr">
        <is>
          <t>Chemical anchor - capsule M12x95 - Würth W-VPZ 12</t>
        </is>
      </c>
      <c r="C211" s="96" t="n">
        <v>4.74</v>
      </c>
    </row>
    <row r="212">
      <c r="A212" s="79" t="inlineStr">
        <is>
          <t>15.03.04.0006</t>
        </is>
      </c>
      <c r="B212" s="82" t="inlineStr">
        <is>
          <t>Hexagon domed cap nut - Zinc plated M12</t>
        </is>
      </c>
      <c r="C212" s="96" t="n">
        <v>0.29</v>
      </c>
    </row>
    <row r="213">
      <c r="A213" s="83" t="inlineStr">
        <is>
          <t>19.04.00.0001</t>
        </is>
      </c>
      <c r="B213" s="82" t="inlineStr">
        <is>
          <t>Nylon sleeve - PA6 - Ø26/14x6mm</t>
        </is>
      </c>
      <c r="C213" s="96" t="n">
        <v>1.7</v>
      </c>
    </row>
    <row r="214">
      <c r="A214" s="79" t="inlineStr">
        <is>
          <t>20.06.05.0096</t>
        </is>
      </c>
      <c r="B214" s="79" t="inlineStr">
        <is>
          <t>Mechanical code lock - Double sided - Locinox VITA-40-VSZ-2 - P00036414</t>
        </is>
      </c>
      <c r="C214" s="96" t="n">
        <v>647.1799999999999</v>
      </c>
    </row>
    <row r="215">
      <c r="A215" s="79" t="inlineStr">
        <is>
          <t>20.06.05.0097</t>
        </is>
      </c>
      <c r="B215" s="79" t="inlineStr">
        <is>
          <t>Mechanical code lock - Double sided - Locinox VITA-60-VSZ-2 - P00036417</t>
        </is>
      </c>
      <c r="C215" s="96" t="n">
        <v>647.1799999999999</v>
      </c>
    </row>
    <row r="216">
      <c r="A216" s="79" t="inlineStr">
        <is>
          <t>20.06.05.0098</t>
        </is>
      </c>
      <c r="B216" s="79" t="inlineStr">
        <is>
          <t>Battery powered code lock - Double sided - Locinox VERA-40-VSZ-2  - P00019406</t>
        </is>
      </c>
      <c r="C216" s="96" t="n">
        <v>726.6900000000001</v>
      </c>
    </row>
    <row r="217">
      <c r="A217" s="79" t="inlineStr">
        <is>
          <t>20.06.05.0099</t>
        </is>
      </c>
      <c r="B217" s="79" t="inlineStr">
        <is>
          <t>Battery powered code lock - Double sided - Locinox VERA-60-VSZ-2  - P00019407</t>
        </is>
      </c>
      <c r="C217" s="96" t="n">
        <v>726.6900000000001</v>
      </c>
    </row>
    <row r="218">
      <c r="A218" s="79" t="inlineStr">
        <is>
          <t>20.07.04.0010</t>
        </is>
      </c>
      <c r="B218" s="79" t="inlineStr">
        <is>
          <t>Keep for code locks - Locinox SFKO-V-ALUM - P00036294</t>
        </is>
      </c>
      <c r="C218" s="96" t="n">
        <v>48</v>
      </c>
    </row>
    <row r="219">
      <c r="A219" s="79" t="inlineStr">
        <is>
          <t>20.10.02.0041</t>
        </is>
      </c>
      <c r="B219" s="79" t="inlineStr">
        <is>
          <t>Euro Cylinder with 3 keys - 50/55mm</t>
        </is>
      </c>
      <c r="C219" s="96" t="n">
        <v>102.62</v>
      </c>
    </row>
    <row r="220">
      <c r="A220" s="79" t="inlineStr">
        <is>
          <t>20.10.02.0039</t>
        </is>
      </c>
      <c r="B220" s="79" t="inlineStr">
        <is>
          <t>Euro Cylinder with 3 keys - 50/70mm</t>
        </is>
      </c>
      <c r="C220" s="96" t="n">
        <v>102.62</v>
      </c>
    </row>
  </sheetData>
  <pageMargins left="0.7" right="0.7" top="0.75" bottom="0.75" header="0.3" footer="0.3"/>
  <pageSetup orientation="landscape" paperSize="8" horizontalDpi="0" verticalDpi="0"/>
</worksheet>
</file>

<file path=xl/worksheets/sheet9.xml><?xml version="1.0" encoding="utf-8"?>
<worksheet xmlns="http://schemas.openxmlformats.org/spreadsheetml/2006/main">
  <sheetPr>
    <outlinePr summaryBelow="1" summaryRight="1"/>
    <pageSetUpPr/>
  </sheetPr>
  <dimension ref="A1:G231"/>
  <sheetViews>
    <sheetView topLeftCell="A165" workbookViewId="0">
      <selection activeCell="B16" sqref="B16"/>
    </sheetView>
  </sheetViews>
  <sheetFormatPr baseColWidth="8" defaultColWidth="9.140625" defaultRowHeight="15"/>
  <cols>
    <col width="12.7109375" bestFit="1" customWidth="1" style="79" min="1" max="1"/>
    <col width="71.42578125" bestFit="1" customWidth="1" style="79" min="2" max="2"/>
    <col width="15.42578125" bestFit="1" customWidth="1" style="79" min="3" max="3"/>
    <col width="16.7109375" bestFit="1" customWidth="1" style="79" min="4" max="4"/>
    <col width="15.42578125" bestFit="1" customWidth="1" style="79" min="5" max="5"/>
    <col width="9.140625" customWidth="1" style="79" min="6" max="16384"/>
  </cols>
  <sheetData>
    <row r="1">
      <c r="A1" s="83" t="inlineStr">
        <is>
          <t>CODE</t>
        </is>
      </c>
      <c r="B1" s="83" t="inlineStr">
        <is>
          <t>DESCR</t>
        </is>
      </c>
      <c r="C1" s="83" t="inlineStr">
        <is>
          <t>MONTAGE (HRS)</t>
        </is>
      </c>
      <c r="D1" s="83" t="inlineStr">
        <is>
          <t>EXTRA PLUS (HRS)</t>
        </is>
      </c>
      <c r="E1" s="83" t="n"/>
    </row>
    <row r="2">
      <c r="A2" s="79" t="inlineStr">
        <is>
          <t>43.13.07.0011</t>
        </is>
      </c>
      <c r="B2" s="79" t="inlineStr">
        <is>
          <t>Domino - Beam - 120x60x3 - L1890 - 8Ø13 - Galvanized</t>
        </is>
      </c>
      <c r="C2" s="79" t="n">
        <v>0.2</v>
      </c>
      <c r="D2" s="79" t="n">
        <v>0.1</v>
      </c>
    </row>
    <row r="3">
      <c r="A3" s="79" t="inlineStr">
        <is>
          <t>43.13.07.0013</t>
        </is>
      </c>
      <c r="B3" s="79" t="inlineStr">
        <is>
          <t>Domino - Beam - 120x60x3 - L1890 - 8Ø13 - Powder Coated</t>
        </is>
      </c>
      <c r="C3" s="79" t="n">
        <v>0.2</v>
      </c>
      <c r="D3" s="79" t="n">
        <v>0.1</v>
      </c>
    </row>
    <row r="4">
      <c r="A4" s="79" t="inlineStr">
        <is>
          <t>43.13.07.0004</t>
        </is>
      </c>
      <c r="B4" s="79" t="inlineStr">
        <is>
          <t>Domino - Beam - 120x60x3 - L2098 - 2Ø13 - Galvanized</t>
        </is>
      </c>
      <c r="C4" s="79" t="n">
        <v>0.2</v>
      </c>
      <c r="D4" s="79" t="n">
        <v>0.1</v>
      </c>
    </row>
    <row r="5">
      <c r="A5" s="79" t="inlineStr">
        <is>
          <t>43.13.07.0008</t>
        </is>
      </c>
      <c r="B5" s="79" t="inlineStr">
        <is>
          <t>Domino - Beam - 120x60x3 - L2098 - 2Ø13 - Powder Coated</t>
        </is>
      </c>
      <c r="C5" s="79" t="n">
        <v>0.2</v>
      </c>
      <c r="D5" s="79" t="n">
        <v>0.1</v>
      </c>
    </row>
    <row r="6">
      <c r="A6" s="79" t="inlineStr">
        <is>
          <t>43.13.07.0012</t>
        </is>
      </c>
      <c r="B6" s="79" t="inlineStr">
        <is>
          <t>Domino - Beam - 120x60x3 - L2390 - 8Ø13 - Galvanized</t>
        </is>
      </c>
      <c r="C6" s="79" t="n">
        <v>0.2</v>
      </c>
      <c r="D6" s="79" t="n">
        <v>0.1</v>
      </c>
    </row>
    <row r="7">
      <c r="A7" s="79" t="inlineStr">
        <is>
          <t>43.13.07.0014</t>
        </is>
      </c>
      <c r="B7" s="79" t="inlineStr">
        <is>
          <t>Domino - Beam - 120x60x3 - L2390 - 8Ø13 - Powder Coated</t>
        </is>
      </c>
      <c r="C7" s="79" t="n">
        <v>0.2</v>
      </c>
      <c r="D7" s="79" t="n">
        <v>0.1</v>
      </c>
    </row>
    <row r="8">
      <c r="A8" s="79" t="inlineStr">
        <is>
          <t>43.13.07.0015</t>
        </is>
      </c>
      <c r="B8" s="79" t="inlineStr">
        <is>
          <t>Domino - Beam - 120x60x3 - L2598 - 2Ø13 - Galvanized</t>
        </is>
      </c>
      <c r="C8" s="79" t="n">
        <v>0.2</v>
      </c>
      <c r="D8" s="79" t="n">
        <v>0.1</v>
      </c>
    </row>
    <row r="9">
      <c r="A9" s="79" t="inlineStr">
        <is>
          <t>43.13.07.0016</t>
        </is>
      </c>
      <c r="B9" s="79" t="inlineStr">
        <is>
          <t>Domino - Beam - 120x60x3 - L2598 - 2Ø13 - Powder Coated</t>
        </is>
      </c>
      <c r="C9" s="79" t="n">
        <v>0.2</v>
      </c>
      <c r="D9" s="79" t="n">
        <v>0.1</v>
      </c>
    </row>
    <row r="10">
      <c r="A10" s="79" t="inlineStr">
        <is>
          <t>43.13.07.0001</t>
        </is>
      </c>
      <c r="B10" s="79" t="inlineStr">
        <is>
          <t>Domino - Beam - 120x60x3 - L3920 - 8Ø13 - Galvanized</t>
        </is>
      </c>
      <c r="C10" s="79" t="n">
        <v>0.27</v>
      </c>
      <c r="D10" s="79" t="n">
        <v>0.1</v>
      </c>
    </row>
    <row r="11">
      <c r="A11" s="79" t="inlineStr">
        <is>
          <t>43.13.07.0005</t>
        </is>
      </c>
      <c r="B11" s="79" t="inlineStr">
        <is>
          <t>Domino - Beam - 120x60x3 - L3920 - 8Ø13 - Powder Coated</t>
        </is>
      </c>
      <c r="C11" s="79" t="n">
        <v>0.27</v>
      </c>
      <c r="D11" s="79" t="n">
        <v>0.1</v>
      </c>
    </row>
    <row r="12">
      <c r="A12" s="79" t="inlineStr">
        <is>
          <t>43.13.07.0002</t>
        </is>
      </c>
      <c r="B12" s="79" t="inlineStr">
        <is>
          <t>Domino - Beam - 120x60x3 - L4920 - 8Ø13 - Galvanized</t>
        </is>
      </c>
      <c r="C12" s="79" t="n">
        <v>0.27</v>
      </c>
      <c r="D12" s="79" t="n">
        <v>0.1</v>
      </c>
    </row>
    <row r="13">
      <c r="A13" s="79" t="inlineStr">
        <is>
          <t>43.13.07.0006</t>
        </is>
      </c>
      <c r="B13" s="79" t="inlineStr">
        <is>
          <t>Domino - Beam - 120x60x3 - L4920 - 8Ø13 - Powder Coated</t>
        </is>
      </c>
      <c r="C13" s="79" t="n">
        <v>0.27</v>
      </c>
      <c r="D13" s="79" t="n">
        <v>0.1</v>
      </c>
    </row>
    <row r="14">
      <c r="A14" s="79" t="inlineStr">
        <is>
          <t>43.13.07.0003</t>
        </is>
      </c>
      <c r="B14" s="79" t="inlineStr">
        <is>
          <t>Domino - Beam - 120x60x3 - L5950 - 8Ø13 - Galvanized</t>
        </is>
      </c>
      <c r="C14" s="79" t="n">
        <v>0.27</v>
      </c>
      <c r="D14" s="79" t="n">
        <v>0.1</v>
      </c>
    </row>
    <row r="15">
      <c r="A15" s="79" t="inlineStr">
        <is>
          <t>43.13.07.0007</t>
        </is>
      </c>
      <c r="B15" s="79" t="inlineStr">
        <is>
          <t>Domino - Beam - 120x60x3 - L5950 - 8Ø13 - Powder Coated</t>
        </is>
      </c>
      <c r="C15" s="79" t="n">
        <v>0.27</v>
      </c>
      <c r="D15" s="79" t="n">
        <v>0.1</v>
      </c>
    </row>
    <row r="16">
      <c r="A16" s="79" t="inlineStr">
        <is>
          <t>43.09.06.0015</t>
        </is>
      </c>
      <c r="B16" s="79" t="inlineStr">
        <is>
          <t>Domino - Beam Connector - Bracket - Galvanized</t>
        </is>
      </c>
    </row>
    <row r="17">
      <c r="A17" s="79" t="inlineStr">
        <is>
          <t>43.09.06.0016</t>
        </is>
      </c>
      <c r="B17" s="79" t="inlineStr">
        <is>
          <t>Domino - Beam Connector - Bracket - Powder Coated</t>
        </is>
      </c>
    </row>
    <row r="18">
      <c r="A18" s="79" t="inlineStr">
        <is>
          <t>43.09.06.0011</t>
        </is>
      </c>
      <c r="B18" s="79" t="inlineStr">
        <is>
          <t>Domino - Beam Connector - L-Profile - Galvanized</t>
        </is>
      </c>
    </row>
    <row r="19">
      <c r="A19" s="79" t="inlineStr">
        <is>
          <t>43.09.06.0013</t>
        </is>
      </c>
      <c r="B19" s="79" t="inlineStr">
        <is>
          <t>Domino - Beam Connector - L-Profile - Powder Coated</t>
        </is>
      </c>
    </row>
    <row r="20">
      <c r="A20" s="79" t="inlineStr">
        <is>
          <t>43.07.18.0009</t>
        </is>
      </c>
      <c r="B20" s="79" t="inlineStr">
        <is>
          <t>Domino - Brace - 50x2 - L3065 - Galvanized</t>
        </is>
      </c>
      <c r="C20" s="79" t="n">
        <v>0.4</v>
      </c>
    </row>
    <row r="21">
      <c r="A21" s="79" t="inlineStr">
        <is>
          <t>43.07.18.0011</t>
        </is>
      </c>
      <c r="B21" s="79" t="inlineStr">
        <is>
          <t>Domino - Brace - 50x2 - L3065 - Powder Coated</t>
        </is>
      </c>
      <c r="C21" s="79" t="n">
        <v>0.4</v>
      </c>
    </row>
    <row r="22">
      <c r="A22" s="79" t="inlineStr">
        <is>
          <t>43.07.18.0010</t>
        </is>
      </c>
      <c r="B22" s="79" t="inlineStr">
        <is>
          <t>Domino - Brace - 50x2 - L3399 - Galvanized</t>
        </is>
      </c>
      <c r="C22" s="79" t="n">
        <v>0.4</v>
      </c>
    </row>
    <row r="23">
      <c r="A23" s="79" t="inlineStr">
        <is>
          <t>43.07.18.0012</t>
        </is>
      </c>
      <c r="B23" s="79" t="inlineStr">
        <is>
          <t>Domino - Brace - 50x2 - L3399 - Powder Coated</t>
        </is>
      </c>
      <c r="C23" s="79" t="n">
        <v>0.4</v>
      </c>
    </row>
    <row r="24">
      <c r="A24" s="79" t="inlineStr">
        <is>
          <t>43.07.18.0015</t>
        </is>
      </c>
      <c r="B24" s="79" t="inlineStr">
        <is>
          <t>Domino - Brace - Flat 50x5 - L2262 - Galvanized</t>
        </is>
      </c>
      <c r="C24" s="79" t="n">
        <v>0.2</v>
      </c>
    </row>
    <row r="25">
      <c r="A25" s="79" t="inlineStr">
        <is>
          <t>43.07.18.0016</t>
        </is>
      </c>
      <c r="B25" s="79" t="inlineStr">
        <is>
          <t>Domino - Brace - Flat 50x5 - L2699 - Galvanized</t>
        </is>
      </c>
      <c r="C25" s="79" t="n">
        <v>0.2</v>
      </c>
    </row>
    <row r="26">
      <c r="A26" s="79" t="inlineStr">
        <is>
          <t>43.07.18.0017</t>
        </is>
      </c>
      <c r="B26" s="79" t="inlineStr">
        <is>
          <t>Domino - Brace - Flat 50x5 - L2262 - Powder Coated</t>
        </is>
      </c>
      <c r="C26" s="79" t="n">
        <v>0.2</v>
      </c>
    </row>
    <row r="27">
      <c r="A27" s="79" t="inlineStr">
        <is>
          <t>43.07.18.0018</t>
        </is>
      </c>
      <c r="B27" s="79" t="inlineStr">
        <is>
          <t>Domino - Brace - Flat 50x5 - L2699 - Powder Coated</t>
        </is>
      </c>
      <c r="C27" s="79" t="n">
        <v>0.2</v>
      </c>
    </row>
    <row r="28">
      <c r="A28" s="79" t="inlineStr">
        <is>
          <t>43.09.06.0017</t>
        </is>
      </c>
      <c r="B28" s="79" t="inlineStr">
        <is>
          <t>Domino - Brace Connector - Galvanized</t>
        </is>
      </c>
    </row>
    <row r="29">
      <c r="A29" s="79" t="inlineStr">
        <is>
          <t>43.09.06.0018</t>
        </is>
      </c>
      <c r="B29" s="79" t="inlineStr">
        <is>
          <t>Domino - Brace Connector - Powder Coated</t>
        </is>
      </c>
    </row>
    <row r="30">
      <c r="A30" s="79" t="inlineStr">
        <is>
          <t>43.06.14.0043</t>
        </is>
      </c>
      <c r="B30" s="79" t="inlineStr">
        <is>
          <t>Domino - Column - 80x3 - L2175 - 8Ø13 - 8Ø9 - Galvanized</t>
        </is>
      </c>
      <c r="C30" s="79" t="n">
        <v>0.87</v>
      </c>
    </row>
    <row r="31">
      <c r="A31" s="79" t="inlineStr">
        <is>
          <t>43.06.14.0047</t>
        </is>
      </c>
      <c r="B31" s="79" t="inlineStr">
        <is>
          <t>Domino - Column - 80x3 - L2175 - 8Ø13 - 8Ø9 - Powder Coated</t>
        </is>
      </c>
      <c r="C31" s="79" t="n">
        <v>0.87</v>
      </c>
    </row>
    <row r="32">
      <c r="A32" s="79" t="inlineStr">
        <is>
          <t>43.06.14.0041</t>
        </is>
      </c>
      <c r="B32" s="79" t="inlineStr">
        <is>
          <t>Domino - Column - 80x3 - L2175 - 8Ø13 - Galvanized</t>
        </is>
      </c>
      <c r="C32" s="79" t="n">
        <v>0.87</v>
      </c>
    </row>
    <row r="33">
      <c r="A33" s="79" t="inlineStr">
        <is>
          <t>43.06.14.0045</t>
        </is>
      </c>
      <c r="B33" s="79" t="inlineStr">
        <is>
          <t>Domino - Column - 80x3 - L2175 - 8Ø13 - Powder Coated</t>
        </is>
      </c>
      <c r="C33" s="79" t="n">
        <v>0.87</v>
      </c>
    </row>
    <row r="34">
      <c r="A34" s="79" t="inlineStr">
        <is>
          <t>43.06.14.0044</t>
        </is>
      </c>
      <c r="B34" s="79" t="inlineStr">
        <is>
          <t>Domino - Column - 80x3 - L2825 - 8Ø13 - 16Ø9 - Galvanized</t>
        </is>
      </c>
      <c r="C34" s="79" t="n">
        <v>0.87</v>
      </c>
    </row>
    <row r="35">
      <c r="A35" s="79" t="inlineStr">
        <is>
          <t>43.06.14.0048</t>
        </is>
      </c>
      <c r="B35" s="79" t="inlineStr">
        <is>
          <t>Domino - Column - 80x3 - L2825 - 8Ø13 - 16Ø9 - Powder Coated</t>
        </is>
      </c>
      <c r="C35" s="79" t="n">
        <v>0.87</v>
      </c>
    </row>
    <row r="36">
      <c r="A36" s="79" t="inlineStr">
        <is>
          <t>43.06.14.0042</t>
        </is>
      </c>
      <c r="B36" s="79" t="inlineStr">
        <is>
          <t>Domino - Column - 80x3 - L2825 - 8Ø13 - Galvanized</t>
        </is>
      </c>
      <c r="C36" s="79" t="n">
        <v>0.87</v>
      </c>
    </row>
    <row r="37">
      <c r="A37" s="79" t="inlineStr">
        <is>
          <t>43.06.14.0046</t>
        </is>
      </c>
      <c r="B37" s="79" t="inlineStr">
        <is>
          <t>Domino - Column - 80x3 - L2825 - 8Ø13 - Powder Coated</t>
        </is>
      </c>
      <c r="C37" s="79" t="n">
        <v>0.87</v>
      </c>
    </row>
    <row r="38">
      <c r="A38" s="79" t="inlineStr">
        <is>
          <t>43.03.10.0002</t>
        </is>
      </c>
      <c r="B38" s="79" t="inlineStr">
        <is>
          <t>Domino - Foot - 70x4 - L605 - Galvanized</t>
        </is>
      </c>
    </row>
    <row r="39">
      <c r="A39" s="79" t="inlineStr">
        <is>
          <t>43.03.10.0001</t>
        </is>
      </c>
      <c r="B39" s="79" t="inlineStr">
        <is>
          <t>Domino - Foot - 70x4 - L605 - Outflow - Galvanized</t>
        </is>
      </c>
    </row>
    <row r="40">
      <c r="A40" s="79" t="inlineStr">
        <is>
          <t>43.03.10.0004</t>
        </is>
      </c>
      <c r="B40" s="79" t="inlineStr">
        <is>
          <t>Domino - Foot - 70x4 - L605 - Outflow - Powder Coated</t>
        </is>
      </c>
    </row>
    <row r="41">
      <c r="A41" s="79" t="inlineStr">
        <is>
          <t>43.03.10.0005</t>
        </is>
      </c>
      <c r="B41" s="79" t="inlineStr">
        <is>
          <t>Domino - Foot - 70x4 - L605 - Powder Coated</t>
        </is>
      </c>
    </row>
    <row r="42">
      <c r="A42" s="79" t="inlineStr">
        <is>
          <t>43.03.10.0003</t>
        </is>
      </c>
      <c r="B42" s="79" t="inlineStr">
        <is>
          <t>Domino - Foot 70x50x3 - L600 - Galvanized</t>
        </is>
      </c>
    </row>
    <row r="43">
      <c r="A43" s="79" t="inlineStr">
        <is>
          <t>43.03.10.0006</t>
        </is>
      </c>
      <c r="B43" s="79" t="inlineStr">
        <is>
          <t>Domino - Foot 70x50x3 - L600 - Powder coated</t>
        </is>
      </c>
    </row>
    <row r="44">
      <c r="A44" s="79" t="inlineStr">
        <is>
          <t>44.02.06.0005</t>
        </is>
      </c>
      <c r="B44" s="79" t="inlineStr">
        <is>
          <t>Domino - Girder - 50x2 - L1948 - 6Ø13 - 6M10 - Galvanized</t>
        </is>
      </c>
      <c r="C44" s="79" t="n">
        <v>0.2</v>
      </c>
    </row>
    <row r="45">
      <c r="A45" s="79" t="inlineStr">
        <is>
          <t>44.02.06.0009</t>
        </is>
      </c>
      <c r="B45" s="79" t="inlineStr">
        <is>
          <t>Domino - Girder - 50x2 - L1948 - 6Ø13 - 6M10 - Powder Coated</t>
        </is>
      </c>
      <c r="C45" s="79" t="n">
        <v>0.2</v>
      </c>
    </row>
    <row r="46">
      <c r="A46" s="79" t="inlineStr">
        <is>
          <t>44.02.06.0006</t>
        </is>
      </c>
      <c r="B46" s="79" t="inlineStr">
        <is>
          <t>Domino - Girder - 50x2 - L2448 - 6Ø13 - 6M10 - Galvanized</t>
        </is>
      </c>
      <c r="C46" s="79" t="n">
        <v>0.2</v>
      </c>
    </row>
    <row r="47">
      <c r="A47" s="79" t="inlineStr">
        <is>
          <t>44.02.06.0010</t>
        </is>
      </c>
      <c r="B47" s="79" t="inlineStr">
        <is>
          <t>Domino - Girder - 50x2 - L2448 - 6Ø13 - 6M10 - Powder Coated</t>
        </is>
      </c>
      <c r="C47" s="79" t="n">
        <v>0.2</v>
      </c>
    </row>
    <row r="48">
      <c r="A48" s="79" t="inlineStr">
        <is>
          <t>44.02.06.0029</t>
        </is>
      </c>
      <c r="B48" s="79" t="inlineStr">
        <is>
          <t xml:space="preserve">Domino - Girder - 50x2 - L293mm - 2Ø13 - 2M10 - Galvanized </t>
        </is>
      </c>
      <c r="C48" s="79" t="n">
        <v>0.2</v>
      </c>
    </row>
    <row r="49">
      <c r="A49" s="79" t="inlineStr">
        <is>
          <t>44.02.06.0030</t>
        </is>
      </c>
      <c r="B49" s="79" t="inlineStr">
        <is>
          <t xml:space="preserve">Domino - Girder - 50x2 - L543mm - 2Ø13 - 2M10 - Galvanized </t>
        </is>
      </c>
      <c r="C49" s="79" t="n">
        <v>0.2</v>
      </c>
    </row>
    <row r="50">
      <c r="A50" s="79" t="inlineStr">
        <is>
          <t>44.02.06.0031</t>
        </is>
      </c>
      <c r="B50" s="79" t="inlineStr">
        <is>
          <t>Domino - Girder - 50x2 - L293mm - 2Ø13 - 2M10 - Powder coated</t>
        </is>
      </c>
      <c r="C50" s="79" t="n">
        <v>0.2</v>
      </c>
    </row>
    <row r="51">
      <c r="A51" s="79" t="inlineStr">
        <is>
          <t>44.02.06.0032</t>
        </is>
      </c>
      <c r="B51" s="79" t="inlineStr">
        <is>
          <t xml:space="preserve">Domino - Girder - 50x2 - L543mm - 2Ø13 - 2M10 - Powder coated </t>
        </is>
      </c>
      <c r="C51" s="79" t="n">
        <v>0.2</v>
      </c>
    </row>
    <row r="52">
      <c r="A52" s="79" t="inlineStr">
        <is>
          <t>37.60.06.0061</t>
        </is>
      </c>
      <c r="B52" s="79" t="inlineStr">
        <is>
          <t>Domino - Gutter G - L1890 - 6Ø13 - Cut 3 - Galvanized</t>
        </is>
      </c>
      <c r="C52" s="79" t="n">
        <v>0.4</v>
      </c>
      <c r="D52" s="79" t="n">
        <v>0.1</v>
      </c>
    </row>
    <row r="53">
      <c r="A53" s="79" t="inlineStr">
        <is>
          <t>43.08.18.0011</t>
        </is>
      </c>
      <c r="B53" s="79" t="inlineStr">
        <is>
          <t>Domino - Gutter G - L1890 - 6Ø13 - Cut 3 - Powder Coated</t>
        </is>
      </c>
      <c r="C53" s="79" t="n">
        <v>0.4</v>
      </c>
      <c r="D53" s="79" t="n">
        <v>0.1</v>
      </c>
    </row>
    <row r="54">
      <c r="A54" s="79" t="inlineStr">
        <is>
          <t>37.60.06.0160</t>
        </is>
      </c>
      <c r="B54" s="79" t="inlineStr">
        <is>
          <t>Domino - Gutter G - L1890 - 7Ø13 - Galvanized</t>
        </is>
      </c>
      <c r="C54" s="79" t="n">
        <v>0.4</v>
      </c>
      <c r="D54" s="79" t="n">
        <v>0.1</v>
      </c>
    </row>
    <row r="55">
      <c r="A55" s="79" t="inlineStr">
        <is>
          <t>43.08.18.0021</t>
        </is>
      </c>
      <c r="B55" s="79" t="inlineStr">
        <is>
          <t>Domino - Gutter G - L1890 - 7Ø13 - Powder Coated</t>
        </is>
      </c>
      <c r="C55" s="79" t="n">
        <v>0.4</v>
      </c>
      <c r="D55" s="79" t="n">
        <v>0.1</v>
      </c>
    </row>
    <row r="56">
      <c r="A56" s="79" t="inlineStr">
        <is>
          <t>37.60.06.0161</t>
        </is>
      </c>
      <c r="B56" s="79" t="inlineStr">
        <is>
          <t>Domino - Gutter G - L2390 - 6Ø13 - Cut 3 - Galvanized</t>
        </is>
      </c>
      <c r="C56" s="79" t="n">
        <v>0.4</v>
      </c>
      <c r="D56" s="79" t="n">
        <v>0.1</v>
      </c>
    </row>
    <row r="57">
      <c r="A57" s="79" t="inlineStr">
        <is>
          <t>43.08.18.0022</t>
        </is>
      </c>
      <c r="B57" s="79" t="inlineStr">
        <is>
          <t>Domino - Gutter G - L2390 - 6Ø13 - Cut 3 - Powder Coated</t>
        </is>
      </c>
      <c r="C57" s="79" t="n">
        <v>0.4</v>
      </c>
      <c r="D57" s="79" t="n">
        <v>0.1</v>
      </c>
    </row>
    <row r="58">
      <c r="A58" s="79" t="inlineStr">
        <is>
          <t>37.60.06.0162</t>
        </is>
      </c>
      <c r="B58" s="79" t="inlineStr">
        <is>
          <t>Domino - Gutter G - L2390 - 7Ø13 - Galvanized</t>
        </is>
      </c>
      <c r="C58" s="79" t="n">
        <v>0.4</v>
      </c>
      <c r="D58" s="79" t="n">
        <v>0.1</v>
      </c>
    </row>
    <row r="59">
      <c r="A59" s="79" t="inlineStr">
        <is>
          <t>43.08.18.0023</t>
        </is>
      </c>
      <c r="B59" s="79" t="inlineStr">
        <is>
          <t>Domino - Gutter G - L2390 - 7Ø13 - Powder Coated</t>
        </is>
      </c>
      <c r="C59" s="79" t="n">
        <v>0.4</v>
      </c>
      <c r="D59" s="79" t="n">
        <v>0.1</v>
      </c>
    </row>
    <row r="60">
      <c r="A60" s="79" t="inlineStr">
        <is>
          <t>37.60.06.0058</t>
        </is>
      </c>
      <c r="B60" s="79" t="inlineStr">
        <is>
          <t>Domino - Gutter G - L3920 - 9Ø13 - Galvanized</t>
        </is>
      </c>
      <c r="C60" s="79" t="n">
        <v>0.6</v>
      </c>
      <c r="D60" s="79" t="n">
        <v>0.1</v>
      </c>
    </row>
    <row r="61">
      <c r="A61" s="79" t="inlineStr">
        <is>
          <t>43.08.18.0008</t>
        </is>
      </c>
      <c r="B61" s="79" t="inlineStr">
        <is>
          <t>Domino - Gutter G - L3920 - 9Ø13 - Powder Coated</t>
        </is>
      </c>
      <c r="C61" s="79" t="n">
        <v>0.6</v>
      </c>
      <c r="D61" s="79" t="n">
        <v>0.1</v>
      </c>
    </row>
    <row r="62">
      <c r="A62" s="79" t="inlineStr">
        <is>
          <t>37.60.06.0059</t>
        </is>
      </c>
      <c r="B62" s="79" t="inlineStr">
        <is>
          <t>Domino - Gutter G - L4920 - 9Ø13 - Galvanized</t>
        </is>
      </c>
      <c r="C62" s="79" t="n">
        <v>0.6</v>
      </c>
      <c r="D62" s="79" t="n">
        <v>0.1</v>
      </c>
    </row>
    <row r="63">
      <c r="A63" s="79" t="inlineStr">
        <is>
          <t>43.08.18.0009</t>
        </is>
      </c>
      <c r="B63" s="79" t="inlineStr">
        <is>
          <t>Domino - Gutter G - L4920 - 9Ø13 - Powder Coated</t>
        </is>
      </c>
      <c r="C63" s="79" t="n">
        <v>0.6</v>
      </c>
      <c r="D63" s="79" t="n">
        <v>0.1</v>
      </c>
    </row>
    <row r="64">
      <c r="A64" s="79" t="inlineStr">
        <is>
          <t>37.60.06.0060</t>
        </is>
      </c>
      <c r="B64" s="79" t="inlineStr">
        <is>
          <t>Domino - Gutter G - L5950 - 10Ø13 - Galvanized</t>
        </is>
      </c>
      <c r="C64" s="79" t="n">
        <v>0.6</v>
      </c>
      <c r="D64" s="79" t="n">
        <v>0.1</v>
      </c>
    </row>
    <row r="65">
      <c r="A65" s="79" t="inlineStr">
        <is>
          <t>43.08.18.0010</t>
        </is>
      </c>
      <c r="B65" s="79" t="inlineStr">
        <is>
          <t>Domino - Gutter G - L5950 - 10Ø13 - Powder Coated</t>
        </is>
      </c>
      <c r="C65" s="79" t="n">
        <v>0.6</v>
      </c>
      <c r="D65" s="79" t="n">
        <v>0.1</v>
      </c>
    </row>
    <row r="66">
      <c r="A66" s="79" t="inlineStr">
        <is>
          <t>37.60.06.0163</t>
        </is>
      </c>
      <c r="B66" s="79" t="inlineStr">
        <is>
          <t>Domino - Gutter U - L1890 - 4Ø13 - Galvanized</t>
        </is>
      </c>
      <c r="C66" s="79" t="n">
        <v>0.6</v>
      </c>
      <c r="D66" s="79" t="n">
        <v>0.1</v>
      </c>
    </row>
    <row r="67">
      <c r="A67" s="79" t="inlineStr">
        <is>
          <t>43.08.18.0024</t>
        </is>
      </c>
      <c r="B67" s="79" t="inlineStr">
        <is>
          <t>Domino - Gutter U - L1890 - 4Ø13 - Powder Coated</t>
        </is>
      </c>
      <c r="C67" s="79" t="n">
        <v>0.6</v>
      </c>
      <c r="D67" s="79" t="n">
        <v>0.1</v>
      </c>
    </row>
    <row r="68">
      <c r="A68" s="79" t="inlineStr">
        <is>
          <t>37.60.06.0164</t>
        </is>
      </c>
      <c r="B68" s="79" t="inlineStr">
        <is>
          <t>Domino - Gutter U - L2390 - 4Ø13 - Galvanized</t>
        </is>
      </c>
      <c r="C68" s="79" t="n">
        <v>0.6</v>
      </c>
      <c r="D68" s="79" t="n">
        <v>0.1</v>
      </c>
    </row>
    <row r="69">
      <c r="A69" s="79" t="inlineStr">
        <is>
          <t>43.08.18.0025</t>
        </is>
      </c>
      <c r="B69" s="79" t="inlineStr">
        <is>
          <t>Domino - Gutter U - L2390 - 4Ø13 - Powder Coated</t>
        </is>
      </c>
      <c r="C69" s="79" t="n">
        <v>0.6</v>
      </c>
      <c r="D69" s="79" t="n">
        <v>0.1</v>
      </c>
    </row>
    <row r="70">
      <c r="A70" s="79" t="inlineStr">
        <is>
          <t>37.60.06.0165</t>
        </is>
      </c>
      <c r="B70" s="79" t="inlineStr">
        <is>
          <t>Domino - Gutter U - L3920 - 5Ø13 - Galvanized</t>
        </is>
      </c>
      <c r="C70" s="79" t="n">
        <v>0.6</v>
      </c>
      <c r="D70" s="79" t="n">
        <v>0.1</v>
      </c>
    </row>
    <row r="71">
      <c r="A71" s="79" t="inlineStr">
        <is>
          <t>43.08.18.0026</t>
        </is>
      </c>
      <c r="B71" s="79" t="inlineStr">
        <is>
          <t>Domino - Gutter U - L3920 - 5Ø13 - Powder Coated</t>
        </is>
      </c>
      <c r="C71" s="79" t="n">
        <v>0.6</v>
      </c>
      <c r="D71" s="79" t="n">
        <v>0.1</v>
      </c>
    </row>
    <row r="72">
      <c r="A72" s="79" t="inlineStr">
        <is>
          <t>37.60.06.0166</t>
        </is>
      </c>
      <c r="B72" s="79" t="inlineStr">
        <is>
          <t>Domino - Gutter U - L4920 - 5Ø13 - Galvanized</t>
        </is>
      </c>
      <c r="C72" s="79" t="n">
        <v>0.6</v>
      </c>
      <c r="D72" s="79" t="n">
        <v>0.1</v>
      </c>
    </row>
    <row r="73">
      <c r="A73" s="79" t="inlineStr">
        <is>
          <t>43.08.18.0027</t>
        </is>
      </c>
      <c r="B73" s="79" t="inlineStr">
        <is>
          <t>Domino - Gutter U - L4920 - 5Ø13 - Powder Coated</t>
        </is>
      </c>
      <c r="C73" s="79" t="n">
        <v>0.6</v>
      </c>
      <c r="D73" s="79" t="n">
        <v>0.1</v>
      </c>
    </row>
    <row r="74">
      <c r="A74" s="79" t="inlineStr">
        <is>
          <t>37.60.06.0167</t>
        </is>
      </c>
      <c r="B74" s="79" t="inlineStr">
        <is>
          <t>Domino - Gutter U - L5950 - 6Ø13 - Galvanized</t>
        </is>
      </c>
      <c r="C74" s="79" t="n">
        <v>0.6</v>
      </c>
      <c r="D74" s="79" t="n">
        <v>0.1</v>
      </c>
    </row>
    <row r="75">
      <c r="A75" s="79" t="inlineStr">
        <is>
          <t>43.08.18.0028</t>
        </is>
      </c>
      <c r="B75" s="79" t="inlineStr">
        <is>
          <t>Domino - Gutter U - L5950 - 6Ø13 - Powder Coated</t>
        </is>
      </c>
      <c r="C75" s="79" t="n">
        <v>0.6</v>
      </c>
      <c r="D75" s="79" t="n">
        <v>0.1</v>
      </c>
    </row>
    <row r="76">
      <c r="A76" s="79" t="inlineStr">
        <is>
          <t>43.09.06.0001</t>
        </is>
      </c>
      <c r="B76" s="79" t="inlineStr">
        <is>
          <t>Domino - Mof A - Galvanized</t>
        </is>
      </c>
    </row>
    <row r="77">
      <c r="A77" s="79" t="inlineStr">
        <is>
          <t>43.09.06.0006</t>
        </is>
      </c>
      <c r="B77" s="79" t="inlineStr">
        <is>
          <t>Domino - Mof A - Powder Coated</t>
        </is>
      </c>
    </row>
    <row r="78">
      <c r="A78" s="79" t="inlineStr">
        <is>
          <t>43.09.06.0002</t>
        </is>
      </c>
      <c r="B78" s="79" t="inlineStr">
        <is>
          <t>Domino - Mof B - Galvanized</t>
        </is>
      </c>
    </row>
    <row r="79">
      <c r="A79" s="79" t="inlineStr">
        <is>
          <t>43.09.06.0007</t>
        </is>
      </c>
      <c r="B79" s="79" t="inlineStr">
        <is>
          <t>Domino - Mof B - Powder Coated</t>
        </is>
      </c>
    </row>
    <row r="80">
      <c r="A80" s="79" t="inlineStr">
        <is>
          <t>43.09.06.0003</t>
        </is>
      </c>
      <c r="B80" s="79" t="inlineStr">
        <is>
          <t>Domino - Mof C - Galvanized</t>
        </is>
      </c>
    </row>
    <row r="81">
      <c r="A81" s="79" t="inlineStr">
        <is>
          <t>43.09.06.0008</t>
        </is>
      </c>
      <c r="B81" s="79" t="inlineStr">
        <is>
          <t>Domino - Mof C - Powder Coated</t>
        </is>
      </c>
    </row>
    <row r="82">
      <c r="A82" s="79" t="inlineStr">
        <is>
          <t>43.09.06.0005</t>
        </is>
      </c>
      <c r="B82" s="79" t="inlineStr">
        <is>
          <t>Domino - Mof D - Galvanized</t>
        </is>
      </c>
    </row>
    <row r="83">
      <c r="A83" s="79" t="inlineStr">
        <is>
          <t>43.09.06.0010</t>
        </is>
      </c>
      <c r="B83" s="79" t="inlineStr">
        <is>
          <t>Domino - Mof D - Powder Coated</t>
        </is>
      </c>
    </row>
    <row r="84">
      <c r="A84" s="79" t="inlineStr">
        <is>
          <t>43.09.06.0004</t>
        </is>
      </c>
      <c r="B84" s="79" t="inlineStr">
        <is>
          <t>Domino - Mof W - Galvanized</t>
        </is>
      </c>
    </row>
    <row r="85">
      <c r="A85" s="79" t="inlineStr">
        <is>
          <t>43.09.06.0009</t>
        </is>
      </c>
      <c r="B85" s="79" t="inlineStr">
        <is>
          <t>Domino - Mof W - Powder Coated</t>
        </is>
      </c>
    </row>
    <row r="86">
      <c r="A86" s="79" t="inlineStr">
        <is>
          <t>43.07.18.0013</t>
        </is>
      </c>
      <c r="B86" s="79" t="inlineStr">
        <is>
          <t>Domino - Strut - 50x2 - Galvanized</t>
        </is>
      </c>
      <c r="C86" s="79" t="n">
        <v>0.2</v>
      </c>
    </row>
    <row r="87">
      <c r="A87" s="79" t="inlineStr">
        <is>
          <t>43.07.18.0014</t>
        </is>
      </c>
      <c r="B87" s="79" t="inlineStr">
        <is>
          <t>Domino - Strut - 50x2 - Powder Coated</t>
        </is>
      </c>
      <c r="C87" s="79" t="n">
        <v>0.2</v>
      </c>
    </row>
    <row r="88">
      <c r="A88" s="79" t="inlineStr">
        <is>
          <t>37.60.06.0168</t>
        </is>
      </c>
      <c r="B88" s="79" t="inlineStr">
        <is>
          <t>Domino - U-Profile - 80x50x3 - L1890 - 3Ø13 - Galvanized</t>
        </is>
      </c>
      <c r="C88" s="79" t="n">
        <v>0.2</v>
      </c>
      <c r="D88" s="79" t="n">
        <v>0.1</v>
      </c>
    </row>
    <row r="89">
      <c r="A89" s="79" t="inlineStr">
        <is>
          <t>43.17.06.0004</t>
        </is>
      </c>
      <c r="B89" s="79" t="inlineStr">
        <is>
          <t>Domino - U-Profile - 80x50x3 - L1890 - 3Ø13 - Powder Coated</t>
        </is>
      </c>
      <c r="C89" s="79" t="n">
        <v>0.2</v>
      </c>
      <c r="D89" s="79" t="n">
        <v>0.1</v>
      </c>
    </row>
    <row r="90">
      <c r="A90" s="79" t="inlineStr">
        <is>
          <t>37.60.06.0169</t>
        </is>
      </c>
      <c r="B90" s="79" t="inlineStr">
        <is>
          <t>Domino - U-Profile - 80x50x3 - L2390 - 3Ø13 - Galvanized</t>
        </is>
      </c>
      <c r="C90" s="79" t="n">
        <v>0.2</v>
      </c>
      <c r="D90" s="79" t="n">
        <v>0.1</v>
      </c>
    </row>
    <row r="91">
      <c r="A91" s="79" t="inlineStr">
        <is>
          <t>43.17.06.0005</t>
        </is>
      </c>
      <c r="B91" s="79" t="inlineStr">
        <is>
          <t>Domino - U-Profile - 80x50x3 - L2390 - 3Ø13 - Powder Coated</t>
        </is>
      </c>
      <c r="C91" s="79" t="n">
        <v>0.2</v>
      </c>
      <c r="D91" s="79" t="n">
        <v>0.1</v>
      </c>
    </row>
    <row r="92">
      <c r="A92" s="79" t="inlineStr">
        <is>
          <t>37.60.06.0017</t>
        </is>
      </c>
      <c r="B92" s="79" t="inlineStr">
        <is>
          <t>Domino - U-Profile - 80x50x3 - L3920 - 4Ø13 - Galvanized</t>
        </is>
      </c>
      <c r="C92" s="79" t="n">
        <v>0.2</v>
      </c>
      <c r="D92" s="79" t="n">
        <v>0.1</v>
      </c>
    </row>
    <row r="93">
      <c r="A93" s="79" t="inlineStr">
        <is>
          <t>43.17.06.0001</t>
        </is>
      </c>
      <c r="B93" s="79" t="inlineStr">
        <is>
          <t>Domino - U-Profile - 80x50x3 - L3920 - 4Ø13 - Powder Coated</t>
        </is>
      </c>
      <c r="C93" s="79" t="n">
        <v>0.2</v>
      </c>
      <c r="D93" s="79" t="n">
        <v>0.1</v>
      </c>
    </row>
    <row r="94">
      <c r="A94" s="79" t="inlineStr">
        <is>
          <t>37.60.06.0018</t>
        </is>
      </c>
      <c r="B94" s="79" t="inlineStr">
        <is>
          <t>Domino - U-Profile - 80x50x3 - L4920 - 4Ø13 - Galvanized</t>
        </is>
      </c>
      <c r="C94" s="79" t="n">
        <v>0.2</v>
      </c>
      <c r="D94" s="79" t="n">
        <v>0.1</v>
      </c>
    </row>
    <row r="95">
      <c r="A95" s="79" t="inlineStr">
        <is>
          <t>43.17.06.0002</t>
        </is>
      </c>
      <c r="B95" s="79" t="inlineStr">
        <is>
          <t>Domino - U-Profile - 80x50x3 - L4920 - 4Ø13 - Powder Coated</t>
        </is>
      </c>
      <c r="C95" s="79" t="n">
        <v>0.2</v>
      </c>
      <c r="D95" s="79" t="n">
        <v>0.1</v>
      </c>
    </row>
    <row r="96">
      <c r="A96" s="79" t="inlineStr">
        <is>
          <t>37.60.06.0019</t>
        </is>
      </c>
      <c r="B96" s="79" t="inlineStr">
        <is>
          <t>Domino - U-Profile - 80x50x3 - L5950 - 4Ø13 - Galvanized</t>
        </is>
      </c>
      <c r="C96" s="79" t="n">
        <v>0.2</v>
      </c>
      <c r="D96" s="79" t="n">
        <v>0.1</v>
      </c>
    </row>
    <row r="97">
      <c r="A97" s="79" t="inlineStr">
        <is>
          <t>43.17.06.0003</t>
        </is>
      </c>
      <c r="B97" s="79" t="inlineStr">
        <is>
          <t>Domino - U-Profile - 80x50x3 - L5950 - 4Ø13 - Powder Coated</t>
        </is>
      </c>
      <c r="C97" s="79" t="n">
        <v>0.2</v>
      </c>
      <c r="D97" s="79" t="n">
        <v>0.1</v>
      </c>
    </row>
    <row r="98">
      <c r="A98" s="79" t="inlineStr">
        <is>
          <t>43.07.18.0001</t>
        </is>
      </c>
      <c r="B98" s="79" t="inlineStr">
        <is>
          <t>Domino - Wall Connector - Galvanized</t>
        </is>
      </c>
    </row>
    <row r="99">
      <c r="A99" s="79" t="inlineStr">
        <is>
          <t>43.07.18.0004</t>
        </is>
      </c>
      <c r="B99" s="79" t="inlineStr">
        <is>
          <t>Domino - Wall Connector - Powder Coated</t>
        </is>
      </c>
    </row>
    <row r="100">
      <c r="A100" s="79" t="inlineStr">
        <is>
          <t>43.06.14.0049</t>
        </is>
      </c>
      <c r="B100" s="79" t="inlineStr">
        <is>
          <t>Domino - Gate Column - 80x60x3 - L2260 - Galvanized</t>
        </is>
      </c>
      <c r="C100" s="79" t="n">
        <v>0.87</v>
      </c>
    </row>
    <row r="101">
      <c r="A101" s="79" t="inlineStr">
        <is>
          <t>43.06.14.0050</t>
        </is>
      </c>
      <c r="B101" s="79" t="inlineStr">
        <is>
          <t xml:space="preserve">Domino - Gate Column - 80x60x3 - L2910 - Galvanized </t>
        </is>
      </c>
      <c r="C101" s="79" t="n">
        <v>0.87</v>
      </c>
    </row>
    <row r="102">
      <c r="A102" s="79" t="inlineStr">
        <is>
          <t>43.06.14.0051</t>
        </is>
      </c>
      <c r="B102" s="79" t="inlineStr">
        <is>
          <t xml:space="preserve">Domino - Gate Column - 80x603 - L2260 - Powder Coated </t>
        </is>
      </c>
      <c r="C102" s="79" t="n">
        <v>0.87</v>
      </c>
    </row>
    <row r="103">
      <c r="A103" s="79" t="inlineStr">
        <is>
          <t>43.06.14.0052</t>
        </is>
      </c>
      <c r="B103" s="79" t="inlineStr">
        <is>
          <t xml:space="preserve">Domino - Gate Column - 80x603 - L2910 - Powder Coated </t>
        </is>
      </c>
      <c r="C103" s="79" t="n">
        <v>0.87</v>
      </c>
    </row>
    <row r="104">
      <c r="A104" s="79" t="inlineStr">
        <is>
          <t>43.32.03.0052</t>
        </is>
      </c>
      <c r="B104" s="79" t="inlineStr">
        <is>
          <t>Domino - Gate Frame - W930 - H2030 - Galvanized</t>
        </is>
      </c>
      <c r="C104" s="79" t="n">
        <v>2.25</v>
      </c>
    </row>
    <row r="105">
      <c r="A105" s="79" t="inlineStr">
        <is>
          <t>43.32.03.0053</t>
        </is>
      </c>
      <c r="B105" s="79" t="inlineStr">
        <is>
          <t>Domino - Gate Frame - W930 - H2680 - Galvanized</t>
        </is>
      </c>
      <c r="C105" s="79" t="n">
        <v>2.25</v>
      </c>
    </row>
    <row r="106">
      <c r="A106" s="79" t="inlineStr">
        <is>
          <t>43.32.03.0054</t>
        </is>
      </c>
      <c r="B106" s="79" t="inlineStr">
        <is>
          <t>Domino - Gate Frame - W1180 - H2030 - Galvanized</t>
        </is>
      </c>
      <c r="C106" s="79" t="n">
        <v>2.25</v>
      </c>
    </row>
    <row r="107">
      <c r="A107" s="79" t="inlineStr">
        <is>
          <t>43.32.03.0055</t>
        </is>
      </c>
      <c r="B107" s="79" t="inlineStr">
        <is>
          <t>Domino - Gate Frame - W1180 - H2680 - Galvanized</t>
        </is>
      </c>
      <c r="C107" s="79" t="n">
        <v>2.25</v>
      </c>
    </row>
    <row r="108">
      <c r="A108" s="79" t="inlineStr">
        <is>
          <t>43.32.03.0056</t>
        </is>
      </c>
      <c r="B108" s="79" t="inlineStr">
        <is>
          <t>Domino - Gate Frame - W930 - H2030 - Powder Coated</t>
        </is>
      </c>
      <c r="C108" s="79" t="n">
        <v>2.25</v>
      </c>
    </row>
    <row r="109">
      <c r="A109" s="79" t="inlineStr">
        <is>
          <t>43.32.03.0057</t>
        </is>
      </c>
      <c r="B109" s="79" t="inlineStr">
        <is>
          <t>Domino - Gate Frame - W930 - H2680 - Powder Coated</t>
        </is>
      </c>
      <c r="C109" s="79" t="n">
        <v>2.25</v>
      </c>
    </row>
    <row r="110">
      <c r="A110" s="79" t="inlineStr">
        <is>
          <t>43.32.03.0058</t>
        </is>
      </c>
      <c r="B110" s="79" t="inlineStr">
        <is>
          <t>Domino - Gate Frame - W1180 - H2030 - Powder Coated</t>
        </is>
      </c>
      <c r="C110" s="79" t="n">
        <v>2.25</v>
      </c>
    </row>
    <row r="111">
      <c r="A111" s="79" t="inlineStr">
        <is>
          <t>43.32.03.0059</t>
        </is>
      </c>
      <c r="B111" s="79" t="inlineStr">
        <is>
          <t>Domino - Gate Frame - W1180 - H2680 - Powder Coated</t>
        </is>
      </c>
      <c r="C111" s="79" t="n">
        <v>2.25</v>
      </c>
    </row>
    <row r="112">
      <c r="A112" s="79" t="inlineStr">
        <is>
          <t>43.32.03.0048</t>
        </is>
      </c>
      <c r="B112" s="79" t="inlineStr">
        <is>
          <t xml:space="preserve">Domino - Hinge Bracket - Galvanized  </t>
        </is>
      </c>
    </row>
    <row r="113">
      <c r="A113" s="79" t="inlineStr">
        <is>
          <t>43.32.03.0049</t>
        </is>
      </c>
      <c r="B113" s="79" t="inlineStr">
        <is>
          <t xml:space="preserve">Domino - Hinge Bracket - Powder coated </t>
        </is>
      </c>
    </row>
    <row r="114">
      <c r="A114" s="79" t="inlineStr">
        <is>
          <t>43.32.03.0050</t>
        </is>
      </c>
      <c r="B114" s="79" t="inlineStr">
        <is>
          <t xml:space="preserve">Domino - Hinge L-Profile - Galvanized </t>
        </is>
      </c>
    </row>
    <row r="115">
      <c r="A115" s="79" t="inlineStr">
        <is>
          <t>43.32.03.0051</t>
        </is>
      </c>
      <c r="B115" s="79" t="inlineStr">
        <is>
          <t>Domino - Hinge L-Profile - Powder coated</t>
        </is>
      </c>
    </row>
    <row r="116">
      <c r="A116" s="79" t="inlineStr">
        <is>
          <t>40.01.01.0014</t>
        </is>
      </c>
      <c r="B116" s="79" t="inlineStr">
        <is>
          <t>Wooden panel - Type A1 - Thermowood - WxH=950x2150mm</t>
        </is>
      </c>
      <c r="C116" s="79" t="n">
        <v>0.2</v>
      </c>
    </row>
    <row r="117">
      <c r="A117" s="79" t="inlineStr">
        <is>
          <t>40.01.01.0015</t>
        </is>
      </c>
      <c r="B117" s="79" t="inlineStr">
        <is>
          <t>Wooden panel - Type A2 - Thermowood - WxH=950x2800mm</t>
        </is>
      </c>
      <c r="C117" s="79" t="n">
        <v>0.27</v>
      </c>
    </row>
    <row r="118">
      <c r="A118" s="79" t="inlineStr">
        <is>
          <t>40.01.01.0016</t>
        </is>
      </c>
      <c r="B118" s="79" t="inlineStr">
        <is>
          <t>Wooden panel - Type B1 - Thermowood - WxH=1195x2150mm</t>
        </is>
      </c>
      <c r="C118" s="79" t="n">
        <v>0.2</v>
      </c>
    </row>
    <row r="119">
      <c r="A119" s="79" t="inlineStr">
        <is>
          <t>40.01.01.0017</t>
        </is>
      </c>
      <c r="B119" s="79" t="inlineStr">
        <is>
          <t>Wooden panel - Type B2 - Thermowood - WxH=1195x2800mm</t>
        </is>
      </c>
      <c r="C119" s="79" t="n">
        <v>0.27</v>
      </c>
    </row>
    <row r="120">
      <c r="A120" s="79" t="inlineStr">
        <is>
          <t>09.01.06.0012</t>
        </is>
      </c>
      <c r="B120" s="80" t="inlineStr">
        <is>
          <t>Thermowood - 90x20x2150mm - 4-sided planed - Rounded edges</t>
        </is>
      </c>
    </row>
    <row r="121">
      <c r="A121" s="79" t="inlineStr">
        <is>
          <t>09.01.06.0013</t>
        </is>
      </c>
      <c r="B121" s="80" t="inlineStr">
        <is>
          <t>Thermowood - 90x20x2800mm - 4-sided planed - Rounded edges</t>
        </is>
      </c>
    </row>
    <row r="122">
      <c r="A122" s="79" t="inlineStr">
        <is>
          <t>09.01.06.0016</t>
        </is>
      </c>
      <c r="B122" s="80" t="inlineStr">
        <is>
          <t>Thermowood - 44x20x2150mm - 4-sided planed - Rounded edges</t>
        </is>
      </c>
    </row>
    <row r="123">
      <c r="A123" s="79" t="inlineStr">
        <is>
          <t>09.01.06.0017</t>
        </is>
      </c>
      <c r="B123" s="80" t="inlineStr">
        <is>
          <t>Thermowood - 44x20x2800mm - 4-sided planed - Rounded edges</t>
        </is>
      </c>
    </row>
    <row r="124">
      <c r="A124" s="79" t="inlineStr">
        <is>
          <t>09.01.06.0014</t>
        </is>
      </c>
      <c r="B124" s="80" t="inlineStr">
        <is>
          <t>Thermowood - 44x22x950mm - 4-sided planed</t>
        </is>
      </c>
    </row>
    <row r="125">
      <c r="A125" s="79" t="inlineStr">
        <is>
          <t>09.01.06.0015</t>
        </is>
      </c>
      <c r="B125" s="80" t="inlineStr">
        <is>
          <t>Thermowood - 44x22x1195mm - 4-sided planed</t>
        </is>
      </c>
    </row>
    <row r="126">
      <c r="A126" s="79" t="inlineStr">
        <is>
          <t>20.01.11.0012</t>
        </is>
      </c>
      <c r="B126" s="80" t="inlineStr">
        <is>
          <t>Mesh Panel - 2D - 6/5/6 - W2000H2030 - RAL6005 - Cut</t>
        </is>
      </c>
      <c r="C126" s="79" t="n">
        <v>0.5</v>
      </c>
    </row>
    <row r="127">
      <c r="A127" s="79" t="inlineStr">
        <is>
          <t>20.01.11.0013</t>
        </is>
      </c>
      <c r="B127" s="80" t="inlineStr">
        <is>
          <t>Mesh Panel - 2D - 6/5/6 - W2000H2030 - RAL7016 - Cut</t>
        </is>
      </c>
      <c r="C127" s="79" t="n">
        <v>0.5</v>
      </c>
    </row>
    <row r="128">
      <c r="A128" s="79" t="inlineStr">
        <is>
          <t>20.01.11.0014</t>
        </is>
      </c>
      <c r="B128" s="80" t="inlineStr">
        <is>
          <t>Mesh Panel - 2D - 6/5/6 - W2000H2030 - RAL9005 - Cut</t>
        </is>
      </c>
      <c r="C128" s="79" t="n">
        <v>0.5</v>
      </c>
    </row>
    <row r="129">
      <c r="A129" s="79" t="inlineStr">
        <is>
          <t>20.01.11.0015</t>
        </is>
      </c>
      <c r="B129" s="80" t="inlineStr">
        <is>
          <t>Mesh Panel - 2D - 6/5/6 - W2000H2030 - Galvanized - Cut</t>
        </is>
      </c>
      <c r="C129" s="79" t="n">
        <v>0.5</v>
      </c>
    </row>
    <row r="130">
      <c r="A130" s="79" t="inlineStr">
        <is>
          <t>20.01.11.0016</t>
        </is>
      </c>
      <c r="B130" s="80" t="inlineStr">
        <is>
          <t>Mesh Panel - 2D - 6/5/6 - W2000H630 - RAL6005 - Cut</t>
        </is>
      </c>
      <c r="C130" s="79" t="n">
        <v>0.25</v>
      </c>
    </row>
    <row r="131">
      <c r="A131" s="79" t="inlineStr">
        <is>
          <t>20.01.11.0017</t>
        </is>
      </c>
      <c r="B131" s="80" t="inlineStr">
        <is>
          <t>Mesh Panel - 2D - 6/5/6 - W2000H630 - RAL7016 - Cut</t>
        </is>
      </c>
      <c r="C131" s="79" t="n">
        <v>0.25</v>
      </c>
    </row>
    <row r="132">
      <c r="A132" s="79" t="inlineStr">
        <is>
          <t>20.01.11.0018</t>
        </is>
      </c>
      <c r="B132" s="80" t="inlineStr">
        <is>
          <t>Mesh Panel - 2D - 6/5/6 - W2000H630 - RAL9005 - Cut</t>
        </is>
      </c>
      <c r="C132" s="79" t="n">
        <v>0.25</v>
      </c>
    </row>
    <row r="133">
      <c r="A133" s="79" t="inlineStr">
        <is>
          <t>20.01.11.0019</t>
        </is>
      </c>
      <c r="B133" s="80" t="inlineStr">
        <is>
          <t>Mesh Panel - 2D - 6/5/6 - W2000H630 - Galvanized - Cut</t>
        </is>
      </c>
      <c r="C133" s="79" t="n">
        <v>0.25</v>
      </c>
    </row>
    <row r="134">
      <c r="A134" s="79" t="inlineStr">
        <is>
          <t>20.01.11.0020</t>
        </is>
      </c>
      <c r="B134" s="80" t="inlineStr">
        <is>
          <t>Mesh Panel - 2D - 6/5/6 - W1150H2030 - RAL6005 - Cut</t>
        </is>
      </c>
    </row>
    <row r="135">
      <c r="A135" s="79" t="inlineStr">
        <is>
          <t>20.01.11.0021</t>
        </is>
      </c>
      <c r="B135" s="80" t="inlineStr">
        <is>
          <t>Mesh Panel - 2D - 6/5/6 - W1150H2030 - RAL7016 - Cut</t>
        </is>
      </c>
    </row>
    <row r="136">
      <c r="A136" s="79" t="inlineStr">
        <is>
          <t>20.01.11.0022</t>
        </is>
      </c>
      <c r="B136" s="80" t="inlineStr">
        <is>
          <t>Mesh Panel - 2D - 6/5/6 - W1150H2030 - RAL9005 - Cut</t>
        </is>
      </c>
    </row>
    <row r="137">
      <c r="A137" s="79" t="inlineStr">
        <is>
          <t>20.01.11.0023</t>
        </is>
      </c>
      <c r="B137" s="80" t="inlineStr">
        <is>
          <t>Mesh Panel - 2D - 6/5/6 - W1150H2030 - Galvanized - Cut</t>
        </is>
      </c>
    </row>
    <row r="138">
      <c r="A138" s="79" t="inlineStr">
        <is>
          <t>20.01.11.0024</t>
        </is>
      </c>
      <c r="B138" s="80" t="inlineStr">
        <is>
          <t>Mesh Panel - 2D - 6/5/6 - W1150H630 - RAL6005 - Cut</t>
        </is>
      </c>
    </row>
    <row r="139">
      <c r="A139" s="79" t="inlineStr">
        <is>
          <t>20.01.11.0025</t>
        </is>
      </c>
      <c r="B139" s="80" t="inlineStr">
        <is>
          <t>Mesh Panel - 2D - 6/5/6 - W1150H630 - RAL7016 - Cut</t>
        </is>
      </c>
    </row>
    <row r="140">
      <c r="A140" s="79" t="inlineStr">
        <is>
          <t>20.01.11.0026</t>
        </is>
      </c>
      <c r="B140" s="80" t="inlineStr">
        <is>
          <t>Mesh Panel - 2D - 6/5/6 - W1150H630 - RAL9005 - Cut</t>
        </is>
      </c>
    </row>
    <row r="141">
      <c r="A141" s="79" t="inlineStr">
        <is>
          <t>20.01.11.0027</t>
        </is>
      </c>
      <c r="B141" s="80" t="inlineStr">
        <is>
          <t>Mesh Panel - 2D - 6/5/6 - W1150H630 - Galvanized - Cut</t>
        </is>
      </c>
    </row>
    <row r="142">
      <c r="A142" s="79" t="inlineStr">
        <is>
          <t>20.01.11.0028</t>
        </is>
      </c>
      <c r="B142" s="80" t="inlineStr">
        <is>
          <t>Mesh Panel - 2D - 6/5/6 - W900H2030 - RAL6005 - Cut</t>
        </is>
      </c>
    </row>
    <row r="143">
      <c r="A143" s="79" t="inlineStr">
        <is>
          <t>20.01.11.0029</t>
        </is>
      </c>
      <c r="B143" s="80" t="inlineStr">
        <is>
          <t>Mesh Panel - 2D - 6/5/6 - W900H2030 - RAL7016 - Cut</t>
        </is>
      </c>
    </row>
    <row r="144">
      <c r="A144" s="79" t="inlineStr">
        <is>
          <t>20.01.11.0030</t>
        </is>
      </c>
      <c r="B144" s="80" t="inlineStr">
        <is>
          <t>Mesh Panel - 2D - 6/5/6 - W900H2030 - RAL9005 - Cut</t>
        </is>
      </c>
    </row>
    <row r="145">
      <c r="A145" s="79" t="inlineStr">
        <is>
          <t>20.01.11.0031</t>
        </is>
      </c>
      <c r="B145" s="80" t="inlineStr">
        <is>
          <t>Mesh Panel - 2D - 6/5/6 - W900H2030 - Galvanized - Cut</t>
        </is>
      </c>
    </row>
    <row r="146">
      <c r="A146" s="79" t="inlineStr">
        <is>
          <t>20.01.11.0032</t>
        </is>
      </c>
      <c r="B146" s="80" t="inlineStr">
        <is>
          <t>Mesh Panel - 2D - 6/5/6 - W900H630 - RAL6005 - Cut</t>
        </is>
      </c>
    </row>
    <row r="147">
      <c r="A147" s="79" t="inlineStr">
        <is>
          <t>20.01.11.0033</t>
        </is>
      </c>
      <c r="B147" s="80" t="inlineStr">
        <is>
          <t>Mesh Panel - 2D - 6/5/6 - W900H630 - RAL7016 - Cut</t>
        </is>
      </c>
    </row>
    <row r="148">
      <c r="A148" s="79" t="inlineStr">
        <is>
          <t>20.01.11.0034</t>
        </is>
      </c>
      <c r="B148" s="80" t="inlineStr">
        <is>
          <t>Mesh Panel - 2D - 6/5/6 - W900H630 - RAL9005 - Cut</t>
        </is>
      </c>
    </row>
    <row r="149">
      <c r="A149" s="79" t="inlineStr">
        <is>
          <t>20.01.11.0035</t>
        </is>
      </c>
      <c r="B149" s="80" t="inlineStr">
        <is>
          <t>Mesh Panel - 2D - 6/5/6 - W900H630 - Galvanized - Cut</t>
        </is>
      </c>
    </row>
    <row r="150">
      <c r="A150" s="79" t="inlineStr">
        <is>
          <t>20.01.11.0036</t>
        </is>
      </c>
      <c r="B150" s="80" t="inlineStr">
        <is>
          <t>Mesh Panel - 2D - 6/5/6 - W600H2030 - RAL6005 - Cut</t>
        </is>
      </c>
    </row>
    <row r="151">
      <c r="A151" s="79" t="inlineStr">
        <is>
          <t>20.01.11.0037</t>
        </is>
      </c>
      <c r="B151" s="80" t="inlineStr">
        <is>
          <t>Mesh Panel - 2D - 6/5/6 - W600H2030 - RAL7016 - Cut</t>
        </is>
      </c>
    </row>
    <row r="152">
      <c r="A152" s="79" t="inlineStr">
        <is>
          <t>20.01.11.0038</t>
        </is>
      </c>
      <c r="B152" s="80" t="inlineStr">
        <is>
          <t>Mesh Panel - 2D - 6/5/6 - W600H2030 - RAL9005 - Cut</t>
        </is>
      </c>
    </row>
    <row r="153">
      <c r="A153" s="79" t="inlineStr">
        <is>
          <t>20.01.11.0039</t>
        </is>
      </c>
      <c r="B153" s="80" t="inlineStr">
        <is>
          <t>Mesh Panel - 2D - 6/5/6 - W600H2030 - Galvanized - Cut</t>
        </is>
      </c>
    </row>
    <row r="154">
      <c r="A154" s="79" t="inlineStr">
        <is>
          <t>20.01.11.0040</t>
        </is>
      </c>
      <c r="B154" s="80" t="inlineStr">
        <is>
          <t>Mesh Panel - 2D - 6/5/6 - W600H630 - RAL6005 - Cut</t>
        </is>
      </c>
    </row>
    <row r="155">
      <c r="A155" s="79" t="inlineStr">
        <is>
          <t>20.01.11.0041</t>
        </is>
      </c>
      <c r="B155" s="80" t="inlineStr">
        <is>
          <t>Mesh Panel - 2D - 6/5/6 - W600H630 - RAL7016 - Cut</t>
        </is>
      </c>
    </row>
    <row r="156">
      <c r="A156" s="79" t="inlineStr">
        <is>
          <t>20.01.11.0042</t>
        </is>
      </c>
      <c r="B156" s="80" t="inlineStr">
        <is>
          <t>Mesh Panel - 2D - 6/5/6 - W600H630 - RAL9005 - Cut</t>
        </is>
      </c>
    </row>
    <row r="157">
      <c r="A157" s="79" t="inlineStr">
        <is>
          <t>20.01.11.0043</t>
        </is>
      </c>
      <c r="B157" s="80" t="inlineStr">
        <is>
          <t>Mesh Panel - 2D - 6/5/6 - W600H630 - Galvanized - Cut</t>
        </is>
      </c>
    </row>
    <row r="158">
      <c r="A158" s="79" t="inlineStr">
        <is>
          <t>20.01.11.0044</t>
        </is>
      </c>
      <c r="B158" s="80" t="inlineStr">
        <is>
          <t>Mesh Panel - 2D - 6/5/6 - W350H2030 - RAL6005 - Cut</t>
        </is>
      </c>
    </row>
    <row r="159">
      <c r="A159" s="79" t="inlineStr">
        <is>
          <t>20.01.11.0045</t>
        </is>
      </c>
      <c r="B159" s="80" t="inlineStr">
        <is>
          <t>Mesh Panel - 2D - 6/5/6 - W350H2030 - RAL7016 - Cut</t>
        </is>
      </c>
    </row>
    <row r="160">
      <c r="A160" s="79" t="inlineStr">
        <is>
          <t>20.01.11.0046</t>
        </is>
      </c>
      <c r="B160" s="80" t="inlineStr">
        <is>
          <t>Mesh Panel - 2D - 6/5/6 - W350H2030 - RAL9005 - Cut</t>
        </is>
      </c>
    </row>
    <row r="161">
      <c r="A161" s="79" t="inlineStr">
        <is>
          <t>20.01.11.0047</t>
        </is>
      </c>
      <c r="B161" s="80" t="inlineStr">
        <is>
          <t>Mesh Panel - 2D - 6/5/6 - W350H2030 - Galvanized - Cut</t>
        </is>
      </c>
    </row>
    <row r="162">
      <c r="A162" s="79" t="inlineStr">
        <is>
          <t>20.01.11.0048</t>
        </is>
      </c>
      <c r="B162" s="80" t="inlineStr">
        <is>
          <t>Mesh Panel - 2D - 6/5/6 - W350H630 - RAL6005 - Cut</t>
        </is>
      </c>
    </row>
    <row r="163">
      <c r="A163" s="79" t="inlineStr">
        <is>
          <t>20.01.11.0049</t>
        </is>
      </c>
      <c r="B163" s="80" t="inlineStr">
        <is>
          <t>Mesh Panel - 2D - 6/5/6 - W350H630 - RAL7016 - Cut</t>
        </is>
      </c>
    </row>
    <row r="164">
      <c r="A164" s="79" t="inlineStr">
        <is>
          <t>20.01.11.0050</t>
        </is>
      </c>
      <c r="B164" s="80" t="inlineStr">
        <is>
          <t>Mesh Panel - 2D - 6/5/6 - W350H630 - RAL9005 - Cut</t>
        </is>
      </c>
    </row>
    <row r="165">
      <c r="A165" s="79" t="inlineStr">
        <is>
          <t>20.01.11.0051</t>
        </is>
      </c>
      <c r="B165" s="80" t="inlineStr">
        <is>
          <t>Mesh Panel - 2D - 6/5/6 - W350H630 - Galvanized - Cut</t>
        </is>
      </c>
    </row>
    <row r="166">
      <c r="A166" s="79" t="inlineStr">
        <is>
          <t>20.01.12.0001</t>
        </is>
      </c>
      <c r="B166" s="80" t="inlineStr">
        <is>
          <t>Mesh Panel - 2D - 6/5/6 - W2500H2030 - RAL6005</t>
        </is>
      </c>
      <c r="C166" s="79" t="n">
        <v>0.5</v>
      </c>
    </row>
    <row r="167">
      <c r="A167" s="79" t="inlineStr">
        <is>
          <t>20.01.12.0002</t>
        </is>
      </c>
      <c r="B167" s="80" t="inlineStr">
        <is>
          <t>Mesh Panel - 2D - 6/5/6 - W2500H2030 - RAL7016</t>
        </is>
      </c>
      <c r="C167" s="79" t="n">
        <v>0.5</v>
      </c>
    </row>
    <row r="168">
      <c r="A168" s="79" t="inlineStr">
        <is>
          <t>20.01.12.0003</t>
        </is>
      </c>
      <c r="B168" s="80" t="inlineStr">
        <is>
          <t>Mesh Panel - 2D - 6/5/6 - W2500H2030 - RAL9005</t>
        </is>
      </c>
      <c r="C168" s="79" t="n">
        <v>0.5</v>
      </c>
    </row>
    <row r="169">
      <c r="A169" s="79" t="inlineStr">
        <is>
          <t>20.01.12.0004</t>
        </is>
      </c>
      <c r="B169" s="80" t="inlineStr">
        <is>
          <t>Mesh Panel - 2D - 6/5/6 - W2500H2030 - Galvanized</t>
        </is>
      </c>
      <c r="C169" s="79" t="n">
        <v>0.5</v>
      </c>
    </row>
    <row r="170">
      <c r="A170" s="79" t="inlineStr">
        <is>
          <t>20.01.12.0005</t>
        </is>
      </c>
      <c r="B170" s="80" t="inlineStr">
        <is>
          <t>Mesh Panel - 2D - 6/5/6 - W2500H630 - RAL6005</t>
        </is>
      </c>
      <c r="C170" s="79" t="n">
        <v>0.25</v>
      </c>
      <c r="G170" s="80" t="n"/>
    </row>
    <row r="171">
      <c r="A171" s="79" t="inlineStr">
        <is>
          <t>20.01.12.0006</t>
        </is>
      </c>
      <c r="B171" s="80" t="inlineStr">
        <is>
          <t>Mesh Panel - 2D - 6/5/6 - W2500H630 - RAL7016</t>
        </is>
      </c>
      <c r="C171" s="79" t="n">
        <v>0.25</v>
      </c>
      <c r="G171" s="80" t="n"/>
    </row>
    <row r="172">
      <c r="A172" s="79" t="inlineStr">
        <is>
          <t>20.01.12.0007</t>
        </is>
      </c>
      <c r="B172" s="80" t="inlineStr">
        <is>
          <t>Mesh Panel - 2D - 6/5/6 - W2500H630 - RAL9005</t>
        </is>
      </c>
      <c r="C172" s="79" t="n">
        <v>0.25</v>
      </c>
    </row>
    <row r="173">
      <c r="A173" s="79" t="inlineStr">
        <is>
          <t>20.01.12.0008</t>
        </is>
      </c>
      <c r="B173" s="80" t="inlineStr">
        <is>
          <t>Mesh Panel - 2D - 6/5/6 - W2500H630 - Galvanized</t>
        </is>
      </c>
      <c r="C173" s="79" t="n">
        <v>0.25</v>
      </c>
    </row>
    <row r="174">
      <c r="A174" s="79" t="inlineStr">
        <is>
          <t>08.02.04.0007</t>
        </is>
      </c>
      <c r="B174" s="80" t="inlineStr">
        <is>
          <t>Glass Panel - Tempered - Clear - T=8mm - W950H2150</t>
        </is>
      </c>
      <c r="C174" s="79" t="n">
        <v>0.2</v>
      </c>
    </row>
    <row r="175">
      <c r="A175" s="79" t="inlineStr">
        <is>
          <t>08.02.04.0008</t>
        </is>
      </c>
      <c r="B175" s="80" t="inlineStr">
        <is>
          <t>Glass Panel - Tempered - Clear - T=8mm - W1195H2150</t>
        </is>
      </c>
      <c r="C175" s="79" t="n">
        <v>0.2</v>
      </c>
    </row>
    <row r="176">
      <c r="A176" s="79" t="inlineStr">
        <is>
          <t>01.06.11.0011</t>
        </is>
      </c>
      <c r="B176" s="79" t="inlineStr">
        <is>
          <t>Steel Roof Sheet - RAL7016 - L=2020mm</t>
        </is>
      </c>
      <c r="C176" s="79" t="n">
        <v>0.5</v>
      </c>
      <c r="D176" s="79" t="n">
        <v>0.1</v>
      </c>
    </row>
    <row r="177">
      <c r="A177" s="79" t="inlineStr">
        <is>
          <t>01.06.11.0012</t>
        </is>
      </c>
      <c r="B177" s="79" t="inlineStr">
        <is>
          <t>Steel Roof Sheet - RAL7016 - L=2520mm</t>
        </is>
      </c>
      <c r="C177" s="79" t="n">
        <v>0.5</v>
      </c>
      <c r="D177" s="79" t="n">
        <v>0.1</v>
      </c>
    </row>
    <row r="178">
      <c r="A178" s="79" t="inlineStr">
        <is>
          <t>07.01.05.0013</t>
        </is>
      </c>
      <c r="B178" s="79" t="inlineStr">
        <is>
          <t>Polycarbonate Roof Sheet - Trapez 250/35 - Clear - T=1,00mm - L=2020mm</t>
        </is>
      </c>
      <c r="C178" s="79" t="n">
        <v>0.5</v>
      </c>
      <c r="D178" s="79" t="n">
        <v>0.1</v>
      </c>
    </row>
    <row r="179">
      <c r="A179" s="79" t="inlineStr">
        <is>
          <t>07.01.05.0014</t>
        </is>
      </c>
      <c r="B179" s="79" t="inlineStr">
        <is>
          <t>Polycarbonate Roof Sheet - Trapez 250/35 - Clear - T=1,00mm - L=2520mm</t>
        </is>
      </c>
      <c r="C179" s="79" t="n">
        <v>0.5</v>
      </c>
      <c r="D179" s="79" t="n">
        <v>0.1</v>
      </c>
    </row>
    <row r="180">
      <c r="A180" s="80" t="inlineStr">
        <is>
          <t>37.44.06.0001</t>
        </is>
      </c>
      <c r="B180" s="80" t="inlineStr">
        <is>
          <t>Alu L-profile - 50/125 - R5T8 - L=3000mm</t>
        </is>
      </c>
      <c r="C180" s="79" t="n">
        <v>0.1</v>
      </c>
      <c r="D180" s="79" t="n">
        <v>0.05</v>
      </c>
    </row>
    <row r="181">
      <c r="A181" s="80" t="inlineStr">
        <is>
          <t>37.44.04.0002</t>
        </is>
      </c>
      <c r="B181" s="80" t="inlineStr">
        <is>
          <t>Alu L-profile - 50/50 - R5T8 - L=3000mm</t>
        </is>
      </c>
      <c r="C181" s="79" t="n">
        <v>0.1</v>
      </c>
      <c r="D181" s="79" t="n">
        <v>0.05</v>
      </c>
    </row>
    <row r="182">
      <c r="A182" s="79" t="inlineStr">
        <is>
          <t>30.05.04.0039</t>
        </is>
      </c>
      <c r="B182" s="79" t="inlineStr">
        <is>
          <t>LED Fixture - 33W/3960lm/IP66 - L=1285mm - Ledvance 4058075740914</t>
        </is>
      </c>
      <c r="C182" s="79" t="n">
        <v>0.75</v>
      </c>
      <c r="D182" s="79" t="n">
        <v>0.1</v>
      </c>
    </row>
    <row r="183">
      <c r="A183" s="79" t="inlineStr">
        <is>
          <t>30.04.01.0001</t>
        </is>
      </c>
      <c r="B183" s="79" t="inlineStr">
        <is>
          <t>PVC Conduit 20mm - Class 3231 - RAL7035 - L=3000mm - Pipelife 1196040600</t>
        </is>
      </c>
      <c r="C183" s="79" t="n">
        <v>0.125</v>
      </c>
      <c r="D183" s="79" t="n">
        <v>0.05</v>
      </c>
    </row>
    <row r="184">
      <c r="A184" s="79" t="inlineStr">
        <is>
          <t>30.01.04.0001</t>
        </is>
      </c>
      <c r="B184" s="79" t="inlineStr">
        <is>
          <t>Electricity cable - XGB 3G 1,5mm² - Green</t>
        </is>
      </c>
    </row>
    <row r="185">
      <c r="A185" s="79" t="inlineStr">
        <is>
          <t>03.02.02.0092</t>
        </is>
      </c>
      <c r="B185" s="80" t="inlineStr">
        <is>
          <t>Alu L-profile - 80x40x3</t>
        </is>
      </c>
      <c r="C185" s="79" t="n">
        <v>0.05</v>
      </c>
      <c r="D185" s="79" t="n">
        <v>0.025</v>
      </c>
    </row>
    <row r="186">
      <c r="A186" s="79" t="inlineStr">
        <is>
          <t>03.02.02.0110</t>
        </is>
      </c>
      <c r="B186" s="80" t="inlineStr">
        <is>
          <t>Alu L-profile - 80x40x3 - Powder Coated</t>
        </is>
      </c>
      <c r="C186" s="79" t="n">
        <v>0.05</v>
      </c>
      <c r="D186" s="79" t="n">
        <v>0.025</v>
      </c>
    </row>
    <row r="187" ht="15.95" customHeight="1">
      <c r="A187" s="79" t="inlineStr">
        <is>
          <t>15.02.02.0124</t>
        </is>
      </c>
      <c r="B187" s="81" t="inlineStr">
        <is>
          <t>Hexagon head bolt - DIN933 - M10X30</t>
        </is>
      </c>
    </row>
    <row r="188" ht="15.95" customHeight="1">
      <c r="A188" s="83" t="inlineStr">
        <is>
          <t>15.02.02.0131</t>
        </is>
      </c>
      <c r="B188" s="81" t="inlineStr">
        <is>
          <t>Hexagon head bolt - DIN933 - M10X60</t>
        </is>
      </c>
    </row>
    <row r="189">
      <c r="A189" s="79" t="inlineStr">
        <is>
          <t>15.02.02.0135</t>
        </is>
      </c>
      <c r="B189" s="82" t="inlineStr">
        <is>
          <t>Hexagon head bolt - DIN933 - M10X80</t>
        </is>
      </c>
    </row>
    <row r="190">
      <c r="A190" s="79" t="inlineStr">
        <is>
          <t>15.02.02.0136</t>
        </is>
      </c>
      <c r="B190" s="82" t="inlineStr">
        <is>
          <t>Hexagon head bolt - DIN933 - M10X90</t>
        </is>
      </c>
    </row>
    <row r="191">
      <c r="A191" s="79" t="inlineStr">
        <is>
          <t>15.02.02.0137</t>
        </is>
      </c>
      <c r="B191" s="82" t="inlineStr">
        <is>
          <t>Hexagon head bolt - DIN933 - M10X100</t>
        </is>
      </c>
    </row>
    <row r="192" ht="15.95" customHeight="1">
      <c r="A192" s="79" t="inlineStr">
        <is>
          <t>15.02.02.0138</t>
        </is>
      </c>
      <c r="B192" s="81" t="inlineStr">
        <is>
          <t>Hexagon head bolt - DIN933 - M10X110</t>
        </is>
      </c>
    </row>
    <row r="193" ht="15.95" customHeight="1">
      <c r="A193" s="79" t="inlineStr">
        <is>
          <t>15.02.02.0142</t>
        </is>
      </c>
      <c r="B193" s="81" t="inlineStr">
        <is>
          <t>Hexagon head bolt - DIN933 - M10X140</t>
        </is>
      </c>
    </row>
    <row r="194">
      <c r="A194" s="79" t="inlineStr">
        <is>
          <t>15.03.01.0009</t>
        </is>
      </c>
      <c r="B194" s="82" t="inlineStr">
        <is>
          <t>Hexagon nut - DIN934 - M10</t>
        </is>
      </c>
    </row>
    <row r="195">
      <c r="A195" s="79" t="inlineStr">
        <is>
          <t>15.08.03.0006</t>
        </is>
      </c>
      <c r="B195" s="82" t="inlineStr">
        <is>
          <t>Plain washer - DIN125-1A - M10</t>
        </is>
      </c>
    </row>
    <row r="196">
      <c r="A196" s="79" t="inlineStr">
        <is>
          <t>15.02.11.0141</t>
        </is>
      </c>
      <c r="B196" s="82" t="inlineStr">
        <is>
          <t>Thread forming bolt - DIN7500D - M10x30</t>
        </is>
      </c>
    </row>
    <row r="197">
      <c r="A197" s="79" t="inlineStr">
        <is>
          <t>19.02.02.0006</t>
        </is>
      </c>
      <c r="B197" s="82" t="inlineStr">
        <is>
          <t>Nut Cap - PE black - M10</t>
        </is>
      </c>
    </row>
    <row r="198">
      <c r="A198" s="79" t="inlineStr">
        <is>
          <t>15.02.05.0066</t>
        </is>
      </c>
      <c r="B198" s="82" t="inlineStr">
        <is>
          <t>Hexagon socket button head screw - ISO 7380-2 - M10x40</t>
        </is>
      </c>
    </row>
    <row r="199">
      <c r="A199" s="79" t="inlineStr">
        <is>
          <t>15.06.02.0050</t>
        </is>
      </c>
      <c r="B199" s="82" t="inlineStr">
        <is>
          <t>Self-drilling screw - neoprene washer - DIN7504K - 6,3x25</t>
        </is>
      </c>
    </row>
    <row r="200">
      <c r="A200" s="79" t="inlineStr">
        <is>
          <t>16.04.03.0124</t>
        </is>
      </c>
      <c r="B200" s="82" t="inlineStr">
        <is>
          <t>Wood screw - Stainless A2 - 4x35mm</t>
        </is>
      </c>
    </row>
    <row r="201">
      <c r="A201" s="79" t="inlineStr">
        <is>
          <t>14.09.01.0002</t>
        </is>
      </c>
      <c r="B201" s="82" t="inlineStr">
        <is>
          <t>Self-drilling screw with wings - 5,5x50mm</t>
        </is>
      </c>
    </row>
    <row r="202">
      <c r="A202" s="83" t="inlineStr">
        <is>
          <t>17.04.01.0058</t>
        </is>
      </c>
      <c r="B202" s="82" t="inlineStr">
        <is>
          <t>Blind rivet - waterproof - DIN7337A - 4,8x12,5</t>
        </is>
      </c>
    </row>
    <row r="203">
      <c r="A203" s="79" t="inlineStr">
        <is>
          <t>27.05.01.0001</t>
        </is>
      </c>
      <c r="B203" s="82" t="inlineStr">
        <is>
          <t>Leafguard - Ø50/70mm</t>
        </is>
      </c>
    </row>
    <row r="204">
      <c r="A204" s="79" t="inlineStr">
        <is>
          <t>34.03.02.0034</t>
        </is>
      </c>
      <c r="B204" s="82" t="inlineStr">
        <is>
          <t>Hybrid polymer sealant - 400ml - Transparent - Proma Bond 334906</t>
        </is>
      </c>
    </row>
    <row r="205">
      <c r="A205" s="79" t="inlineStr">
        <is>
          <t>18.01.09.0142</t>
        </is>
      </c>
      <c r="B205" s="82" t="inlineStr">
        <is>
          <t>Wedge Anchor - Baraco FM753ZN - M12/40x139mm</t>
        </is>
      </c>
    </row>
    <row r="206">
      <c r="A206" s="79" t="inlineStr">
        <is>
          <t>15.03.04.0006</t>
        </is>
      </c>
      <c r="B206" s="82" t="inlineStr">
        <is>
          <t>Hexagon domed cap nut - Zinc plated M12</t>
        </is>
      </c>
    </row>
    <row r="207">
      <c r="A207" s="79" t="inlineStr">
        <is>
          <t>20.05.01.0004</t>
        </is>
      </c>
      <c r="B207" s="79" t="inlineStr">
        <is>
          <t>Panel Clamp - Uni - Double - RAL9005 - incl. screw and cap</t>
        </is>
      </c>
    </row>
    <row r="208">
      <c r="A208" s="79" t="inlineStr">
        <is>
          <t>20.05.01.0005</t>
        </is>
      </c>
      <c r="B208" s="79" t="inlineStr">
        <is>
          <t>Panel Clamp - Uni - Single - RAL9005 - incl. screw and cap</t>
        </is>
      </c>
    </row>
    <row r="209">
      <c r="A209" s="79" t="inlineStr">
        <is>
          <t>20.07.04.0009</t>
        </is>
      </c>
      <c r="B209" s="79" t="inlineStr">
        <is>
          <t>Keep - Locinox SFKO-QF-ALUM</t>
        </is>
      </c>
    </row>
    <row r="210">
      <c r="A210" s="79" t="inlineStr">
        <is>
          <t>20.08.03.0117</t>
        </is>
      </c>
      <c r="B210" s="79" t="inlineStr">
        <is>
          <t>Eyebolt set - Locinox 1039SET-M16-65</t>
        </is>
      </c>
    </row>
    <row r="211">
      <c r="A211" s="79" t="inlineStr">
        <is>
          <t>20.09.01.0039</t>
        </is>
      </c>
      <c r="B211" s="79" t="inlineStr">
        <is>
          <t>Drop bolt - Locinox VSF-K-QF1BL-ALUM</t>
        </is>
      </c>
    </row>
    <row r="212">
      <c r="A212" s="79" t="inlineStr">
        <is>
          <t>20.10.01.0017</t>
        </is>
      </c>
      <c r="B212" s="79" t="inlineStr">
        <is>
          <t>Cover shield (2 pcs) - Locinox 3020-HYB-ALU-SILV</t>
        </is>
      </c>
    </row>
    <row r="213">
      <c r="A213" s="79" t="inlineStr">
        <is>
          <t>20.10.01.0018</t>
        </is>
      </c>
      <c r="B213" s="79" t="inlineStr">
        <is>
          <t>Adapter set - Locinox UNIWING-PC-ALUM</t>
        </is>
      </c>
    </row>
    <row r="214">
      <c r="A214" s="79" t="inlineStr">
        <is>
          <t>20.10.03.0013</t>
        </is>
      </c>
      <c r="B214" s="79" t="inlineStr">
        <is>
          <t>Handle pair - Locinox 3006M-H</t>
        </is>
      </c>
    </row>
    <row r="215">
      <c r="A215" s="79" t="inlineStr">
        <is>
          <t>20.10.09.0017</t>
        </is>
      </c>
      <c r="B215" s="79" t="inlineStr">
        <is>
          <t>Lock case - Locinox SIXTYLOCK</t>
        </is>
      </c>
    </row>
    <row r="216">
      <c r="A216" s="79" t="inlineStr">
        <is>
          <t>20.06.05.0096</t>
        </is>
      </c>
      <c r="B216" s="79" t="inlineStr">
        <is>
          <t>Mechanical code lock - Double sided - Locinox VITA-40-VSZ-2 - P00036414</t>
        </is>
      </c>
    </row>
    <row r="217">
      <c r="A217" s="79" t="inlineStr">
        <is>
          <t>20.06.05.0097</t>
        </is>
      </c>
      <c r="B217" s="79" t="inlineStr">
        <is>
          <t>Mechanical code lock - Double sided - Locinox VITA-60-VSZ-2  - P00036417</t>
        </is>
      </c>
    </row>
    <row r="218">
      <c r="A218" s="79" t="inlineStr">
        <is>
          <t>20.06.05.0098</t>
        </is>
      </c>
      <c r="B218" s="79" t="inlineStr">
        <is>
          <t>Battery powered code lock - Double sided - Locinox VERA-40-VSZ-2  - P00019406</t>
        </is>
      </c>
    </row>
    <row r="219">
      <c r="A219" s="79" t="inlineStr">
        <is>
          <t>20.06.05.0099</t>
        </is>
      </c>
      <c r="B219" s="79" t="inlineStr">
        <is>
          <t>Battery powered code lock - Double sided - Locinox VERA-60-VSZ-2  - P00019407</t>
        </is>
      </c>
    </row>
    <row r="220">
      <c r="A220" s="79" t="inlineStr">
        <is>
          <t>20.07.04.0010</t>
        </is>
      </c>
      <c r="B220" s="79" t="inlineStr">
        <is>
          <t>Keep for code locks - Locinox SFKO-V-ALUM - P00036294</t>
        </is>
      </c>
    </row>
    <row r="221">
      <c r="A221" s="79" t="inlineStr">
        <is>
          <t>20.10.02.0041</t>
        </is>
      </c>
      <c r="B221" s="79" t="inlineStr">
        <is>
          <t>Euro Cylinder with 3 keys - 50/55mm</t>
        </is>
      </c>
    </row>
    <row r="222">
      <c r="A222" s="79" t="inlineStr">
        <is>
          <t>20.10.02.0039</t>
        </is>
      </c>
      <c r="B222" s="79" t="inlineStr">
        <is>
          <t>Euro Cylinder with 3 keys - 50/70mm</t>
        </is>
      </c>
    </row>
    <row r="223">
      <c r="A223" s="79" t="inlineStr">
        <is>
          <t>20.10.02.0021</t>
        </is>
      </c>
      <c r="B223" s="79" t="inlineStr">
        <is>
          <t>Euro Cylinder with 3 keys - 30/30mm</t>
        </is>
      </c>
    </row>
    <row r="224">
      <c r="A224" s="79" t="inlineStr">
        <is>
          <t>20.10.02.0023</t>
        </is>
      </c>
      <c r="B224" s="79" t="inlineStr">
        <is>
          <t>Euro Cylinder with 3 keys - 30/50mm</t>
        </is>
      </c>
    </row>
    <row r="225">
      <c r="A225" s="79" t="inlineStr">
        <is>
          <t>30.03.03.0027</t>
        </is>
      </c>
      <c r="B225" s="79" t="inlineStr">
        <is>
          <t>Plug - 107VS VM 12 - RAL7035 - OBO 2029517</t>
        </is>
      </c>
    </row>
    <row r="226">
      <c r="A226" s="79" t="inlineStr">
        <is>
          <t>30.04.04.0002</t>
        </is>
      </c>
      <c r="B226" s="79" t="inlineStr">
        <is>
          <t>Conduit coupler 20mm - Straight - RAL7035 - Helia 34623</t>
        </is>
      </c>
    </row>
    <row r="227">
      <c r="A227" s="79" t="inlineStr">
        <is>
          <t>30.04.03.0004</t>
        </is>
      </c>
      <c r="B227" s="79" t="inlineStr">
        <is>
          <t>Conduit end cap 20mm - RAL7035 - Helia 34523</t>
        </is>
      </c>
    </row>
    <row r="228">
      <c r="A228" s="79" t="inlineStr">
        <is>
          <t>30.04.02.0008</t>
        </is>
      </c>
      <c r="B228" s="79" t="inlineStr">
        <is>
          <t>Conduit clip - M6 19-22 - RAL7035 - OBO 2140233</t>
        </is>
      </c>
    </row>
    <row r="229">
      <c r="A229" s="79" t="inlineStr">
        <is>
          <t>15.06.05.0011</t>
        </is>
      </c>
      <c r="B229" s="79" t="inlineStr">
        <is>
          <t>Self-drilling screw - DIN7504M-H - 4,2x25</t>
        </is>
      </c>
    </row>
    <row r="230">
      <c r="A230" t="inlineStr">
        <is>
          <t>18.01.18.0001</t>
        </is>
      </c>
      <c r="B230" t="inlineStr">
        <is>
          <t>Anchor rod - Zinc plated M12x160-5.8 - Würth W-VD-A/S</t>
        </is>
      </c>
    </row>
    <row r="231">
      <c r="A231" t="inlineStr">
        <is>
          <t>18.03.03.0001</t>
        </is>
      </c>
      <c r="B231" t="inlineStr">
        <is>
          <t>Chemical anchor - capsule M12x95 - Würth W-VPZ 12</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Sam Tyncke</dc:creator>
  <dcterms:created xmlns:dcterms="http://purl.org/dc/terms/" xmlns:xsi="http://www.w3.org/2001/XMLSchema-instance" xsi:type="dcterms:W3CDTF">2023-09-19T06:53:39Z</dcterms:created>
  <dcterms:modified xmlns:dcterms="http://purl.org/dc/terms/" xmlns:xsi="http://www.w3.org/2001/XMLSchema-instance" xsi:type="dcterms:W3CDTF">2025-11-26T14:45:28Z</dcterms:modified>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0x010100EC0F14FA8647CC41B38B91028E710BC7</vt:lpwstr>
  </property>
  <property name="MediaServiceImageTags" fmtid="{D5CDD505-2E9C-101B-9397-08002B2CF9AE}" pid="3">
    <vt:lpwstr xmlns:vt="http://schemas.openxmlformats.org/officeDocument/2006/docPropsVTypes"/>
  </property>
</Properties>
</file>